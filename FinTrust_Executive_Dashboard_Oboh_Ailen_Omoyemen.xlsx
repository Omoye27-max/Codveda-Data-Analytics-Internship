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user\Desktop\Omoye's Data Folder\Analyistlab Intenship Projects\Week 2\"/>
    </mc:Choice>
  </mc:AlternateContent>
  <xr:revisionPtr revIDLastSave="0" documentId="8_{2ED34265-CD39-4399-B185-698FB99BBEE1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Executive Dashboard" sheetId="1" r:id="rId1"/>
    <sheet name="Transaction Dataset" sheetId="2" r:id="rId2"/>
    <sheet name="Executive Notes &amp; Answers" sheetId="3" r:id="rId3"/>
  </sheets>
  <calcPr calcId="191029"/>
</workbook>
</file>

<file path=xl/calcChain.xml><?xml version="1.0" encoding="utf-8"?>
<calcChain xmlns="http://schemas.openxmlformats.org/spreadsheetml/2006/main">
  <c r="F16" i="1" l="1"/>
  <c r="E16" i="1"/>
  <c r="D16" i="1"/>
  <c r="C16" i="1"/>
</calcChain>
</file>

<file path=xl/sharedStrings.xml><?xml version="1.0" encoding="utf-8"?>
<sst xmlns="http://schemas.openxmlformats.org/spreadsheetml/2006/main" count="945" uniqueCount="399">
  <si>
    <t>FinTrust Digital Bank - Executive Analytics Dashboard</t>
  </si>
  <si>
    <t>Submitted by Data Analytics Intern: Oboh-Ailen Omoyemen</t>
  </si>
  <si>
    <t>TOTAL PROCESSED VOLUME</t>
  </si>
  <si>
    <t>TOTAL TRANSACTIONS</t>
  </si>
  <si>
    <t>SUCCESS RATE</t>
  </si>
  <si>
    <t>RISK FLAGGED TRANSACTIONS</t>
  </si>
  <si>
    <t>Performance Summary by Channel</t>
  </si>
  <si>
    <t>6-Month Processing Volume Trend</t>
  </si>
  <si>
    <t>Channel</t>
  </si>
  <si>
    <t>Transaction Count</t>
  </si>
  <si>
    <t>Total Volume (NGN)</t>
  </si>
  <si>
    <t>Success Rate</t>
  </si>
  <si>
    <t>Risk Flagged</t>
  </si>
  <si>
    <t>Month</t>
  </si>
  <si>
    <t>Volume (NGN Millions)</t>
  </si>
  <si>
    <t>Mobile App</t>
  </si>
  <si>
    <t>Oct 2025</t>
  </si>
  <si>
    <t>POS</t>
  </si>
  <si>
    <t>Nov 2025</t>
  </si>
  <si>
    <t>Web Banking</t>
  </si>
  <si>
    <t>Dec 2025</t>
  </si>
  <si>
    <t>ATM</t>
  </si>
  <si>
    <t>Jan 2026</t>
  </si>
  <si>
    <t>USSD</t>
  </si>
  <si>
    <t>Feb 2026</t>
  </si>
  <si>
    <t>Total</t>
  </si>
  <si>
    <t>Mar 2026</t>
  </si>
  <si>
    <t>Raw Customer &amp; Transaction Dataset</t>
  </si>
  <si>
    <t>Transaction ID</t>
  </si>
  <si>
    <t>Customer ID</t>
  </si>
  <si>
    <t>Date</t>
  </si>
  <si>
    <t>Amount (NGN)</t>
  </si>
  <si>
    <t>Status</t>
  </si>
  <si>
    <t>Risk Assessment</t>
  </si>
  <si>
    <t>TXN-100001</t>
  </si>
  <si>
    <t>CUST-1008</t>
  </si>
  <si>
    <t>2025-10-25</t>
  </si>
  <si>
    <t>Successful</t>
  </si>
  <si>
    <t>Cleared</t>
  </si>
  <si>
    <t>TXN-100002</t>
  </si>
  <si>
    <t>CUST-1098</t>
  </si>
  <si>
    <t>2025-11-23</t>
  </si>
  <si>
    <t>TXN-100003</t>
  </si>
  <si>
    <t>CUST-1107</t>
  </si>
  <si>
    <t>2025-11-30</t>
  </si>
  <si>
    <t>TXN-100004</t>
  </si>
  <si>
    <t>CUST-1108</t>
  </si>
  <si>
    <t>2026-02-10</t>
  </si>
  <si>
    <t>TXN-100005</t>
  </si>
  <si>
    <t>CUST-1067</t>
  </si>
  <si>
    <t>2026-02-13</t>
  </si>
  <si>
    <t>TXN-100006</t>
  </si>
  <si>
    <t>CUST-1080</t>
  </si>
  <si>
    <t>2025-10-03</t>
  </si>
  <si>
    <t>TXN-100007</t>
  </si>
  <si>
    <t>CUST-1056</t>
  </si>
  <si>
    <t>2026-01-22</t>
  </si>
  <si>
    <t>TXN-100008</t>
  </si>
  <si>
    <t>CUST-1017</t>
  </si>
  <si>
    <t>2025-12-12</t>
  </si>
  <si>
    <t>TXN-100009</t>
  </si>
  <si>
    <t>CUST-1091</t>
  </si>
  <si>
    <t>2026-03-31</t>
  </si>
  <si>
    <t>Flagged</t>
  </si>
  <si>
    <t>TXN-100010</t>
  </si>
  <si>
    <t>CUST-1131</t>
  </si>
  <si>
    <t>2026-02-16</t>
  </si>
  <si>
    <t>TXN-100011</t>
  </si>
  <si>
    <t>CUST-1043</t>
  </si>
  <si>
    <t>2025-11-06</t>
  </si>
  <si>
    <t>TXN-100012</t>
  </si>
  <si>
    <t>CUST-1095</t>
  </si>
  <si>
    <t>2026-01-23</t>
  </si>
  <si>
    <t>Failed</t>
  </si>
  <si>
    <t>TXN-100013</t>
  </si>
  <si>
    <t>CUST-1000</t>
  </si>
  <si>
    <t>2026-02-25</t>
  </si>
  <si>
    <t>TXN-100014</t>
  </si>
  <si>
    <t>CUST-1009</t>
  </si>
  <si>
    <t>2026-03-26</t>
  </si>
  <si>
    <t>TXN-100015</t>
  </si>
  <si>
    <t>CUST-1116</t>
  </si>
  <si>
    <t>2025-11-09</t>
  </si>
  <si>
    <t>TXN-100016</t>
  </si>
  <si>
    <t>2025-11-15</t>
  </si>
  <si>
    <t>TXN-100017</t>
  </si>
  <si>
    <t>CUST-1109</t>
  </si>
  <si>
    <t>2025-12-07</t>
  </si>
  <si>
    <t>TXN-100018</t>
  </si>
  <si>
    <t>CUST-1140</t>
  </si>
  <si>
    <t>2026-02-24</t>
  </si>
  <si>
    <t>TXN-100019</t>
  </si>
  <si>
    <t>CUST-1073</t>
  </si>
  <si>
    <t>2025-12-06</t>
  </si>
  <si>
    <t>TXN-100020</t>
  </si>
  <si>
    <t>CUST-1077</t>
  </si>
  <si>
    <t>2026-02-07</t>
  </si>
  <si>
    <t>TXN-100021</t>
  </si>
  <si>
    <t>CUST-1028</t>
  </si>
  <si>
    <t>TXN-100022</t>
  </si>
  <si>
    <t>CUST-1074</t>
  </si>
  <si>
    <t>TXN-100023</t>
  </si>
  <si>
    <t>CUST-1141</t>
  </si>
  <si>
    <t>2025-12-21</t>
  </si>
  <si>
    <t>TXN-100024</t>
  </si>
  <si>
    <t>CUST-1038</t>
  </si>
  <si>
    <t>2026-01-25</t>
  </si>
  <si>
    <t>TXN-100025</t>
  </si>
  <si>
    <t>CUST-1145</t>
  </si>
  <si>
    <t>2025-11-12</t>
  </si>
  <si>
    <t>Pending</t>
  </si>
  <si>
    <t>TXN-100026</t>
  </si>
  <si>
    <t>CUST-1100</t>
  </si>
  <si>
    <t>Reversed</t>
  </si>
  <si>
    <t>TXN-100027</t>
  </si>
  <si>
    <t>CUST-1099</t>
  </si>
  <si>
    <t>TXN-100028</t>
  </si>
  <si>
    <t>CUST-1137</t>
  </si>
  <si>
    <t>2026-03-27</t>
  </si>
  <si>
    <t>TXN-100029</t>
  </si>
  <si>
    <t>CUST-1036</t>
  </si>
  <si>
    <t>2026-01-02</t>
  </si>
  <si>
    <t>TXN-100030</t>
  </si>
  <si>
    <t>CUST-1092</t>
  </si>
  <si>
    <t>2026-01-24</t>
  </si>
  <si>
    <t>TXN-100031</t>
  </si>
  <si>
    <t>2026-02-01</t>
  </si>
  <si>
    <t>TXN-100032</t>
  </si>
  <si>
    <t>CUST-1093</t>
  </si>
  <si>
    <t>2026-02-20</t>
  </si>
  <si>
    <t>TXN-100033</t>
  </si>
  <si>
    <t>CUST-1101</t>
  </si>
  <si>
    <t>2025-11-11</t>
  </si>
  <si>
    <t>TXN-100034</t>
  </si>
  <si>
    <t>CUST-1068</t>
  </si>
  <si>
    <t>2026-02-06</t>
  </si>
  <si>
    <t>TXN-100035</t>
  </si>
  <si>
    <t>CUST-1039</t>
  </si>
  <si>
    <t>TXN-100036</t>
  </si>
  <si>
    <t>CUST-1052</t>
  </si>
  <si>
    <t>2026-03-22</t>
  </si>
  <si>
    <t>TXN-100037</t>
  </si>
  <si>
    <t>2026-03-18</t>
  </si>
  <si>
    <t>TXN-100038</t>
  </si>
  <si>
    <t>2026-01-10</t>
  </si>
  <si>
    <t>TXN-100039</t>
  </si>
  <si>
    <t>2025-10-12</t>
  </si>
  <si>
    <t>TXN-100040</t>
  </si>
  <si>
    <t>2026-03-29</t>
  </si>
  <si>
    <t>TXN-100041</t>
  </si>
  <si>
    <t>2026-03-17</t>
  </si>
  <si>
    <t>TXN-100042</t>
  </si>
  <si>
    <t>2026-01-30</t>
  </si>
  <si>
    <t>TXN-100043</t>
  </si>
  <si>
    <t>CUST-1115</t>
  </si>
  <si>
    <t>2025-10-06</t>
  </si>
  <si>
    <t>TXN-100044</t>
  </si>
  <si>
    <t>CUST-1126</t>
  </si>
  <si>
    <t>2025-12-19</t>
  </si>
  <si>
    <t>TXN-100045</t>
  </si>
  <si>
    <t>CUST-1081</t>
  </si>
  <si>
    <t>TXN-100046</t>
  </si>
  <si>
    <t>TXN-100047</t>
  </si>
  <si>
    <t>CUST-1086</t>
  </si>
  <si>
    <t>2026-02-12</t>
  </si>
  <si>
    <t>TXN-100048</t>
  </si>
  <si>
    <t>CUST-1122</t>
  </si>
  <si>
    <t>2025-11-20</t>
  </si>
  <si>
    <t>TXN-100049</t>
  </si>
  <si>
    <t>TXN-100050</t>
  </si>
  <si>
    <t>CUST-1096</t>
  </si>
  <si>
    <t>2025-12-03</t>
  </si>
  <si>
    <t>TXN-100051</t>
  </si>
  <si>
    <t>CUST-1076</t>
  </si>
  <si>
    <t>2025-10-18</t>
  </si>
  <si>
    <t>TXN-100052</t>
  </si>
  <si>
    <t>CUST-1113</t>
  </si>
  <si>
    <t>2025-10-08</t>
  </si>
  <si>
    <t>TXN-100053</t>
  </si>
  <si>
    <t>2026-02-22</t>
  </si>
  <si>
    <t>TXN-100054</t>
  </si>
  <si>
    <t>TXN-100055</t>
  </si>
  <si>
    <t>CUST-1001</t>
  </si>
  <si>
    <t>2025-12-31</t>
  </si>
  <si>
    <t>TXN-100056</t>
  </si>
  <si>
    <t>CUST-1050</t>
  </si>
  <si>
    <t>2025-12-02</t>
  </si>
  <si>
    <t>TXN-100057</t>
  </si>
  <si>
    <t>CUST-1120</t>
  </si>
  <si>
    <t>2025-11-17</t>
  </si>
  <si>
    <t>TXN-100058</t>
  </si>
  <si>
    <t>CUST-1051</t>
  </si>
  <si>
    <t>2025-12-27</t>
  </si>
  <si>
    <t>TXN-100059</t>
  </si>
  <si>
    <t>CUST-1132</t>
  </si>
  <si>
    <t>2025-11-28</t>
  </si>
  <si>
    <t>TXN-100060</t>
  </si>
  <si>
    <t>CUST-1032</t>
  </si>
  <si>
    <t>2026-02-28</t>
  </si>
  <si>
    <t>TXN-100061</t>
  </si>
  <si>
    <t>2026-01-18</t>
  </si>
  <si>
    <t>TXN-100062</t>
  </si>
  <si>
    <t>CUST-1027</t>
  </si>
  <si>
    <t>2026-01-03</t>
  </si>
  <si>
    <t>TXN-100063</t>
  </si>
  <si>
    <t>2026-03-28</t>
  </si>
  <si>
    <t>TXN-100064</t>
  </si>
  <si>
    <t>2025-12-22</t>
  </si>
  <si>
    <t>TXN-100065</t>
  </si>
  <si>
    <t>TXN-100066</t>
  </si>
  <si>
    <t>TXN-100067</t>
  </si>
  <si>
    <t>CUST-1014</t>
  </si>
  <si>
    <t>2026-02-04</t>
  </si>
  <si>
    <t>TXN-100068</t>
  </si>
  <si>
    <t>2025-10-26</t>
  </si>
  <si>
    <t>TXN-100069</t>
  </si>
  <si>
    <t>CUST-1047</t>
  </si>
  <si>
    <t>2025-12-26</t>
  </si>
  <si>
    <t>TXN-100070</t>
  </si>
  <si>
    <t>2026-03-12</t>
  </si>
  <si>
    <t>TXN-100071</t>
  </si>
  <si>
    <t>2025-12-25</t>
  </si>
  <si>
    <t>TXN-100072</t>
  </si>
  <si>
    <t>CUST-1072</t>
  </si>
  <si>
    <t>TXN-100073</t>
  </si>
  <si>
    <t>CUST-1058</t>
  </si>
  <si>
    <t>2026-02-18</t>
  </si>
  <si>
    <t>TXN-100074</t>
  </si>
  <si>
    <t>CUST-1029</t>
  </si>
  <si>
    <t>2025-12-15</t>
  </si>
  <si>
    <t>TXN-100075</t>
  </si>
  <si>
    <t>CUST-1130</t>
  </si>
  <si>
    <t>2026-01-20</t>
  </si>
  <si>
    <t>TXN-100076</t>
  </si>
  <si>
    <t>CUST-1020</t>
  </si>
  <si>
    <t>2025-12-18</t>
  </si>
  <si>
    <t>TXN-100077</t>
  </si>
  <si>
    <t>CUST-1082</t>
  </si>
  <si>
    <t>2025-10-28</t>
  </si>
  <si>
    <t>TXN-100078</t>
  </si>
  <si>
    <t>2026-03-13</t>
  </si>
  <si>
    <t>TXN-100079</t>
  </si>
  <si>
    <t>CUST-1083</t>
  </si>
  <si>
    <t>TXN-100080</t>
  </si>
  <si>
    <t>CUST-1123</t>
  </si>
  <si>
    <t>2025-11-05</t>
  </si>
  <si>
    <t>TXN-100081</t>
  </si>
  <si>
    <t>CUST-1128</t>
  </si>
  <si>
    <t>2026-01-13</t>
  </si>
  <si>
    <t>TXN-100082</t>
  </si>
  <si>
    <t>CUST-1089</t>
  </si>
  <si>
    <t>TXN-100083</t>
  </si>
  <si>
    <t>TXN-100084</t>
  </si>
  <si>
    <t>CUST-1071</t>
  </si>
  <si>
    <t>2025-10-02</t>
  </si>
  <si>
    <t>TXN-100085</t>
  </si>
  <si>
    <t>2025-10-23</t>
  </si>
  <si>
    <t>TXN-100086</t>
  </si>
  <si>
    <t>2025-11-24</t>
  </si>
  <si>
    <t>TXN-100087</t>
  </si>
  <si>
    <t>CUST-1018</t>
  </si>
  <si>
    <t>2025-10-27</t>
  </si>
  <si>
    <t>TXN-100088</t>
  </si>
  <si>
    <t>TXN-100089</t>
  </si>
  <si>
    <t>2025-10-22</t>
  </si>
  <si>
    <t>TXN-100090</t>
  </si>
  <si>
    <t>2025-11-22</t>
  </si>
  <si>
    <t>TXN-100091</t>
  </si>
  <si>
    <t>CUST-1129</t>
  </si>
  <si>
    <t>TXN-100092</t>
  </si>
  <si>
    <t>2025-12-24</t>
  </si>
  <si>
    <t>TXN-100093</t>
  </si>
  <si>
    <t>CUST-1046</t>
  </si>
  <si>
    <t>2026-01-17</t>
  </si>
  <si>
    <t>TXN-100094</t>
  </si>
  <si>
    <t>2026-03-01</t>
  </si>
  <si>
    <t>TXN-100095</t>
  </si>
  <si>
    <t>CUST-1066</t>
  </si>
  <si>
    <t>TXN-100096</t>
  </si>
  <si>
    <t>CUST-1112</t>
  </si>
  <si>
    <t>2025-11-26</t>
  </si>
  <si>
    <t>TXN-100097</t>
  </si>
  <si>
    <t>CUST-1007</t>
  </si>
  <si>
    <t>2026-03-24</t>
  </si>
  <si>
    <t>TXN-100098</t>
  </si>
  <si>
    <t>CUST-1010</t>
  </si>
  <si>
    <t>2025-12-17</t>
  </si>
  <si>
    <t>TXN-100099</t>
  </si>
  <si>
    <t>CUST-1079</t>
  </si>
  <si>
    <t>TXN-100100</t>
  </si>
  <si>
    <t>2026-01-19</t>
  </si>
  <si>
    <t>TXN-100101</t>
  </si>
  <si>
    <t>2026-03-02</t>
  </si>
  <si>
    <t>TXN-100102</t>
  </si>
  <si>
    <t>CUST-1139</t>
  </si>
  <si>
    <t>2025-11-08</t>
  </si>
  <si>
    <t>TXN-100103</t>
  </si>
  <si>
    <t>2025-10-13</t>
  </si>
  <si>
    <t>TXN-100104</t>
  </si>
  <si>
    <t>CUST-1055</t>
  </si>
  <si>
    <t>2025-10-14</t>
  </si>
  <si>
    <t>TXN-100105</t>
  </si>
  <si>
    <t>CUST-1135</t>
  </si>
  <si>
    <t>2025-10-30</t>
  </si>
  <si>
    <t>TXN-100106</t>
  </si>
  <si>
    <t>CUST-1022</t>
  </si>
  <si>
    <t>2026-01-15</t>
  </si>
  <si>
    <t>TXN-100107</t>
  </si>
  <si>
    <t>TXN-100108</t>
  </si>
  <si>
    <t>CUST-1148</t>
  </si>
  <si>
    <t>TXN-100109</t>
  </si>
  <si>
    <t>2026-01-26</t>
  </si>
  <si>
    <t>TXN-100110</t>
  </si>
  <si>
    <t>CUST-1037</t>
  </si>
  <si>
    <t>2025-11-27</t>
  </si>
  <si>
    <t>TXN-100111</t>
  </si>
  <si>
    <t>TXN-100112</t>
  </si>
  <si>
    <t>CUST-1042</t>
  </si>
  <si>
    <t>2026-03-04</t>
  </si>
  <si>
    <t>TXN-100113</t>
  </si>
  <si>
    <t>CUST-1023</t>
  </si>
  <si>
    <t>TXN-100114</t>
  </si>
  <si>
    <t>CUST-1147</t>
  </si>
  <si>
    <t>TXN-100115</t>
  </si>
  <si>
    <t>CUST-1084</t>
  </si>
  <si>
    <t>2025-11-16</t>
  </si>
  <si>
    <t>TXN-100116</t>
  </si>
  <si>
    <t>CUST-1060</t>
  </si>
  <si>
    <t>TXN-100117</t>
  </si>
  <si>
    <t>2025-10-07</t>
  </si>
  <si>
    <t>TXN-100118</t>
  </si>
  <si>
    <t>CUST-1114</t>
  </si>
  <si>
    <t>TXN-100119</t>
  </si>
  <si>
    <t>2026-03-30</t>
  </si>
  <si>
    <t>TXN-100120</t>
  </si>
  <si>
    <t>2026-02-14</t>
  </si>
  <si>
    <t>TXN-100121</t>
  </si>
  <si>
    <t>CUST-1062</t>
  </si>
  <si>
    <t>TXN-100122</t>
  </si>
  <si>
    <t>CUST-1119</t>
  </si>
  <si>
    <t>TXN-100123</t>
  </si>
  <si>
    <t>TXN-100124</t>
  </si>
  <si>
    <t>TXN-100125</t>
  </si>
  <si>
    <t>2025-12-23</t>
  </si>
  <si>
    <t>TXN-100126</t>
  </si>
  <si>
    <t>TXN-100127</t>
  </si>
  <si>
    <t>CUST-1146</t>
  </si>
  <si>
    <t>2025-11-14</t>
  </si>
  <si>
    <t>TXN-100128</t>
  </si>
  <si>
    <t>2026-01-04</t>
  </si>
  <si>
    <t>TXN-100129</t>
  </si>
  <si>
    <t>TXN-100130</t>
  </si>
  <si>
    <t>2025-10-29</t>
  </si>
  <si>
    <t>TXN-100131</t>
  </si>
  <si>
    <t>CUST-1003</t>
  </si>
  <si>
    <t>TXN-100132</t>
  </si>
  <si>
    <t>CUST-1024</t>
  </si>
  <si>
    <t>TXN-100133</t>
  </si>
  <si>
    <t>TXN-100134</t>
  </si>
  <si>
    <t>CUST-1015</t>
  </si>
  <si>
    <t>TXN-100135</t>
  </si>
  <si>
    <t>CUST-1149</t>
  </si>
  <si>
    <t>2025-12-14</t>
  </si>
  <si>
    <t>TXN-100136</t>
  </si>
  <si>
    <t>TXN-100137</t>
  </si>
  <si>
    <t>CUST-1117</t>
  </si>
  <si>
    <t>TXN-100138</t>
  </si>
  <si>
    <t>TXN-100139</t>
  </si>
  <si>
    <t>CUST-1134</t>
  </si>
  <si>
    <t>TXN-100140</t>
  </si>
  <si>
    <t>CUST-1136</t>
  </si>
  <si>
    <t>2026-02-02</t>
  </si>
  <si>
    <t>TXN-100141</t>
  </si>
  <si>
    <t>TXN-100142</t>
  </si>
  <si>
    <t>2026-02-21</t>
  </si>
  <si>
    <t>TXN-100143</t>
  </si>
  <si>
    <t>CUST-1069</t>
  </si>
  <si>
    <t>2026-03-25</t>
  </si>
  <si>
    <t>TXN-100144</t>
  </si>
  <si>
    <t>CUST-1048</t>
  </si>
  <si>
    <t>2026-03-11</t>
  </si>
  <si>
    <t>TXN-100145</t>
  </si>
  <si>
    <t>CUST-1063</t>
  </si>
  <si>
    <t>TXN-100146</t>
  </si>
  <si>
    <t>2025-12-30</t>
  </si>
  <si>
    <t>TXN-100147</t>
  </si>
  <si>
    <t>TXN-100148</t>
  </si>
  <si>
    <t>TXN-100149</t>
  </si>
  <si>
    <t>TXN-100150</t>
  </si>
  <si>
    <t>2025-12-01</t>
  </si>
  <si>
    <t>Analytics Findings &amp; Project Responses</t>
  </si>
  <si>
    <t>Q1: Revenue Drivers &amp; Primary Digital Channel</t>
  </si>
  <si>
    <t>Mobile Banking is the primary volume driver for FinTrust Digital Bank, accounting for 42.5% (NGN 240.1 Million) of total processed volume. Overall monthly transaction volume expanded steadily over 6 months, reaching NGN 109.3 Million in March 2026.</t>
  </si>
  <si>
    <t>Q2: Failure Rate Analysis &amp; Operational Bottlenecks</t>
  </si>
  <si>
    <t>Failed and reversed transactions account for ~6.8% of log volume. The Mobile App experienced higher transaction counts and slight gateway latency during peak trading hours relative to ATM channels (89.75% vs 91.70% completion success rate).</t>
  </si>
  <si>
    <t>Q3: Fraud Anomaly Detection &amp; Risk Mitigation</t>
  </si>
  <si>
    <t>19.6% (2,352 transactions) triggered compliance/fraud review flags. Mobile App and POS channels recorded the highest count of risk flags. High-value transfers and rapid consecutive card attempts require adaptive multi-factor authentication (MFA).</t>
  </si>
  <si>
    <t>Strategic Recommendations for FinTrust</t>
  </si>
  <si>
    <t>1. Implement auto-scaling server infrastructure for Mobile App APIs to push completion rate above 95%.
2. Deploy real-time rule-based risk scoring on POS and Mobile transfers to reduce manual compliance review backlog.
3. Incentivize USSD channel adoption in remote regions to diversify channel mix.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</si>
</sst>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₦#,##0"/>
    <numFmt numFmtId="165" formatCode="0.0%"/>
    <numFmt numFmtId="166" formatCode="\₦#,##0.00"/>
    <numFmt numFmtId="167" formatCode="\₦#,##0.0&quot;M&quot;"/>
  </numFmts>
  <fonts count="18" x14ac:knownFonts="1">
    <font>
      <sz val="11"/>
      <color theme="1"/>
      <name val="Calibri"/>
      <family val="2"/>
      <scheme val="minor"/>
    </font>
    <font>
      <b/>
      <sz val="16"/>
      <color rgb="FF0F172A"/>
      <name val="Calibri"/>
    </font>
    <font>
      <i/>
      <sz val="11"/>
      <color rgb="FF0284C7"/>
      <name val="Calibri"/>
    </font>
    <font>
      <b/>
      <sz val="13"/>
      <color rgb="FF1E293B"/>
      <name val="Calibri"/>
    </font>
    <font>
      <b/>
      <sz val="11"/>
      <color rgb="FFFFFFFF"/>
      <name val="Calibri"/>
    </font>
    <font>
      <sz val="11"/>
      <color rgb="FF334155"/>
      <name val="Calibri"/>
    </font>
    <font>
      <b/>
      <sz val="20"/>
      <color rgb="FF0F172A"/>
      <name val="Calibri"/>
      <family val="2"/>
    </font>
    <font>
      <b/>
      <sz val="26"/>
      <color rgb="FF0F172A"/>
      <name val="Calibri"/>
      <family val="2"/>
    </font>
    <font>
      <sz val="11"/>
      <color rgb="FF334155"/>
      <name val="Calibri"/>
      <family val="2"/>
    </font>
    <font>
      <sz val="20"/>
      <color theme="1"/>
      <name val="Calibri"/>
      <family val="2"/>
      <scheme val="minor"/>
    </font>
    <font>
      <b/>
      <sz val="20"/>
      <color rgb="FF1E293B"/>
      <name val="Calibri"/>
      <family val="2"/>
    </font>
    <font>
      <b/>
      <sz val="20"/>
      <color theme="1"/>
      <name val="Calibri"/>
      <family val="2"/>
    </font>
    <font>
      <b/>
      <sz val="20"/>
      <name val="Calibri"/>
      <family val="2"/>
    </font>
    <font>
      <sz val="20"/>
      <color rgb="FF334155"/>
      <name val="Calibri"/>
      <family val="2"/>
    </font>
    <font>
      <i/>
      <sz val="20"/>
      <color rgb="FF0284C7"/>
      <name val="Calibri"/>
      <family val="2"/>
    </font>
    <font>
      <b/>
      <sz val="20"/>
      <color rgb="FF64748B"/>
      <name val="Calibri"/>
      <family val="2"/>
    </font>
    <font>
      <b/>
      <sz val="20"/>
      <color rgb="FF0284C7"/>
      <name val="Calibri"/>
      <family val="2"/>
    </font>
    <font>
      <b/>
      <sz val="20"/>
      <color rgb="FFDC262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8FAFC"/>
      </patternFill>
    </fill>
    <fill>
      <patternFill patternType="solid">
        <fgColor theme="0" tint="-0.249977111117893"/>
        <b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166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0" fillId="2" borderId="1" xfId="0" applyFill="1" applyBorder="1"/>
    <xf numFmtId="0" fontId="5" fillId="2" borderId="1" xfId="0" applyFont="1" applyFill="1" applyBorder="1" applyAlignment="1">
      <alignment vertical="top" wrapText="1"/>
    </xf>
    <xf numFmtId="0" fontId="0" fillId="4" borderId="0" xfId="0" applyFill="1"/>
    <xf numFmtId="0" fontId="7" fillId="4" borderId="0" xfId="0" applyFont="1" applyFill="1"/>
    <xf numFmtId="0" fontId="9" fillId="4" borderId="0" xfId="0" applyFont="1" applyFill="1"/>
    <xf numFmtId="0" fontId="14" fillId="4" borderId="0" xfId="0" applyFont="1" applyFill="1"/>
    <xf numFmtId="0" fontId="15" fillId="5" borderId="1" xfId="0" applyFont="1" applyFill="1" applyBorder="1" applyAlignment="1">
      <alignment horizontal="center" vertical="center"/>
    </xf>
    <xf numFmtId="0" fontId="9" fillId="5" borderId="1" xfId="0" applyFont="1" applyFill="1" applyBorder="1"/>
    <xf numFmtId="164" fontId="16" fillId="5" borderId="1" xfId="0" applyNumberFormat="1" applyFont="1" applyFill="1" applyBorder="1" applyAlignment="1">
      <alignment horizontal="center" vertical="center"/>
    </xf>
    <xf numFmtId="3" fontId="16" fillId="5" borderId="1" xfId="0" applyNumberFormat="1" applyFont="1" applyFill="1" applyBorder="1" applyAlignment="1">
      <alignment horizontal="center" vertical="center"/>
    </xf>
    <xf numFmtId="165" fontId="16" fillId="5" borderId="1" xfId="0" applyNumberFormat="1" applyFont="1" applyFill="1" applyBorder="1" applyAlignment="1">
      <alignment horizontal="center" vertical="center"/>
    </xf>
    <xf numFmtId="3" fontId="17" fillId="5" borderId="1" xfId="0" applyNumberFormat="1" applyFont="1" applyFill="1" applyBorder="1" applyAlignment="1">
      <alignment horizontal="center" vertical="center"/>
    </xf>
    <xf numFmtId="0" fontId="10" fillId="4" borderId="0" xfId="0" applyFont="1" applyFill="1"/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left"/>
    </xf>
    <xf numFmtId="3" fontId="13" fillId="4" borderId="1" xfId="0" applyNumberFormat="1" applyFont="1" applyFill="1" applyBorder="1"/>
    <xf numFmtId="166" fontId="13" fillId="4" borderId="1" xfId="0" applyNumberFormat="1" applyFont="1" applyFill="1" applyBorder="1"/>
    <xf numFmtId="10" fontId="13" fillId="4" borderId="1" xfId="0" applyNumberFormat="1" applyFont="1" applyFill="1" applyBorder="1"/>
    <xf numFmtId="0" fontId="13" fillId="4" borderId="1" xfId="0" applyFont="1" applyFill="1" applyBorder="1" applyAlignment="1">
      <alignment horizontal="center"/>
    </xf>
    <xf numFmtId="167" fontId="13" fillId="4" borderId="1" xfId="0" applyNumberFormat="1" applyFont="1" applyFill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166" fontId="6" fillId="4" borderId="2" xfId="0" applyNumberFormat="1" applyFont="1" applyFill="1" applyBorder="1"/>
    <xf numFmtId="10" fontId="6" fillId="4" borderId="2" xfId="0" applyNumberFormat="1" applyFont="1" applyFill="1" applyBorder="1"/>
    <xf numFmtId="0" fontId="8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Transaction Volume by Channel (NGN)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Dashboard'!$D$10</c:f>
              <c:strCache>
                <c:ptCount val="1"/>
                <c:pt idx="0">
                  <c:v>Total Volume (NGN)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'Executive Dashboard'!$B$11:$B$15</c:f>
              <c:strCache>
                <c:ptCount val="5"/>
                <c:pt idx="0">
                  <c:v>Mobile App</c:v>
                </c:pt>
                <c:pt idx="1">
                  <c:v>POS</c:v>
                </c:pt>
                <c:pt idx="2">
                  <c:v>Web Banking</c:v>
                </c:pt>
                <c:pt idx="3">
                  <c:v>ATM</c:v>
                </c:pt>
                <c:pt idx="4">
                  <c:v>USSD</c:v>
                </c:pt>
              </c:strCache>
            </c:strRef>
          </c:cat>
          <c:val>
            <c:numRef>
              <c:f>'Executive Dashboard'!$D$11:$D$15</c:f>
              <c:numCache>
                <c:formatCode>\₦#,##0.00</c:formatCode>
                <c:ptCount val="5"/>
                <c:pt idx="0">
                  <c:v>240104365.18000001</c:v>
                </c:pt>
                <c:pt idx="1">
                  <c:v>104346681.23</c:v>
                </c:pt>
                <c:pt idx="2">
                  <c:v>89325000</c:v>
                </c:pt>
                <c:pt idx="3">
                  <c:v>83942354.200000003</c:v>
                </c:pt>
                <c:pt idx="4">
                  <c:v>42758954.240000002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5-42C7-A225-EE2AD633E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6-Month Processing Volume Growth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'Executive Dashboard'!$I$10</c:f>
              <c:strCache>
                <c:ptCount val="1"/>
                <c:pt idx="0">
                  <c:v>Volume (NGN Millions)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'Executive Dashboard'!$H$11:$H$16</c:f>
              <c:strCache>
                <c:ptCount val="6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  <c:pt idx="5">
                  <c:v>Mar 2026</c:v>
                </c:pt>
              </c:strCache>
            </c:strRef>
          </c:cat>
          <c:val>
            <c:numRef>
              <c:f>'Executive Dashboard'!$I$11:$I$16</c:f>
              <c:numCache>
                <c:formatCode>\₦#,##0.0"M"</c:formatCode>
                <c:ptCount val="6"/>
                <c:pt idx="0">
                  <c:v>65.400000000000006</c:v>
                </c:pt>
                <c:pt idx="1">
                  <c:v>72.099999999999994</c:v>
                </c:pt>
                <c:pt idx="2">
                  <c:v>88.5</c:v>
                </c:pt>
                <c:pt idx="3">
                  <c:v>81.2</c:v>
                </c:pt>
                <c:pt idx="4">
                  <c:v>94.3</c:v>
                </c:pt>
                <c:pt idx="5">
                  <c:v>109.3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C-474D-9B0E-47B5E530C2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(NGN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.0&quot;M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36633</xdr:rowOff>
    </xdr:from>
    <xdr:ext cx="7864231" cy="475028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849996</xdr:colOff>
      <xdr:row>16</xdr:row>
      <xdr:rowOff>307879</xdr:rowOff>
    </xdr:from>
    <xdr:ext cx="7963034" cy="498637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6"/>
  <sheetViews>
    <sheetView showGridLines="0" tabSelected="1" zoomScale="40" zoomScaleNormal="40" workbookViewId="0">
      <selection activeCell="C12" sqref="C12"/>
    </sheetView>
  </sheetViews>
  <sheetFormatPr defaultRowHeight="14.5" x14ac:dyDescent="0.35"/>
  <cols>
    <col min="1" max="1" width="12" customWidth="1"/>
    <col min="2" max="2" width="55.1796875" customWidth="1"/>
    <col min="3" max="3" width="29.26953125" bestFit="1" customWidth="1"/>
    <col min="4" max="4" width="33" bestFit="1" customWidth="1"/>
    <col min="5" max="5" width="22" customWidth="1"/>
    <col min="6" max="6" width="17" customWidth="1"/>
    <col min="7" max="7" width="12" customWidth="1"/>
    <col min="8" max="8" width="35" customWidth="1"/>
    <col min="9" max="9" width="25" customWidth="1"/>
    <col min="10" max="10" width="12" customWidth="1"/>
    <col min="11" max="11" width="29" customWidth="1"/>
    <col min="12" max="12" width="12" customWidth="1"/>
    <col min="23" max="23" width="97.1796875" customWidth="1"/>
  </cols>
  <sheetData>
    <row r="1" spans="1:30" x14ac:dyDescent="0.3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33.5" x14ac:dyDescent="0.75">
      <c r="A2" s="10"/>
      <c r="B2" s="11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26" x14ac:dyDescent="0.6">
      <c r="A3" s="12"/>
      <c r="B3" s="13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26" x14ac:dyDescent="0.6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26" x14ac:dyDescent="0.6">
      <c r="A5" s="12"/>
      <c r="B5" s="14" t="s">
        <v>2</v>
      </c>
      <c r="C5" s="15"/>
      <c r="D5" s="12"/>
      <c r="E5" s="14" t="s">
        <v>3</v>
      </c>
      <c r="F5" s="15"/>
      <c r="G5" s="12"/>
      <c r="H5" s="14" t="s">
        <v>4</v>
      </c>
      <c r="I5" s="15"/>
      <c r="J5" s="12"/>
      <c r="K5" s="14" t="s">
        <v>5</v>
      </c>
      <c r="L5" s="15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26" x14ac:dyDescent="0.6">
      <c r="A6" s="12"/>
      <c r="B6" s="16">
        <v>510807441.45999998</v>
      </c>
      <c r="C6" s="15"/>
      <c r="D6" s="12"/>
      <c r="E6" s="17">
        <v>12000</v>
      </c>
      <c r="F6" s="15"/>
      <c r="G6" s="12"/>
      <c r="H6" s="18">
        <v>0.90469999999999995</v>
      </c>
      <c r="I6" s="15"/>
      <c r="J6" s="12"/>
      <c r="K6" s="19">
        <v>2352</v>
      </c>
      <c r="L6" s="15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26" x14ac:dyDescent="0.6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26" x14ac:dyDescent="0.6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26" x14ac:dyDescent="0.6">
      <c r="A9" s="12"/>
      <c r="B9" s="20" t="s">
        <v>6</v>
      </c>
      <c r="C9" s="12"/>
      <c r="D9" s="12"/>
      <c r="E9" s="12"/>
      <c r="F9" s="12"/>
      <c r="G9" s="12"/>
      <c r="H9" s="20" t="s">
        <v>7</v>
      </c>
      <c r="I9" s="12"/>
      <c r="J9" s="12"/>
      <c r="K9" s="12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26" x14ac:dyDescent="0.6">
      <c r="A10" s="12"/>
      <c r="B10" s="21" t="s">
        <v>8</v>
      </c>
      <c r="C10" s="22" t="s">
        <v>9</v>
      </c>
      <c r="D10" s="22" t="s">
        <v>10</v>
      </c>
      <c r="E10" s="22" t="s">
        <v>11</v>
      </c>
      <c r="F10" s="22" t="s">
        <v>12</v>
      </c>
      <c r="G10" s="12"/>
      <c r="H10" s="22" t="s">
        <v>13</v>
      </c>
      <c r="I10" s="22" t="s">
        <v>14</v>
      </c>
      <c r="J10" s="12"/>
      <c r="K10" s="1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26" x14ac:dyDescent="0.6">
      <c r="A11" s="12"/>
      <c r="B11" s="23" t="s">
        <v>15</v>
      </c>
      <c r="C11" s="24">
        <v>5102</v>
      </c>
      <c r="D11" s="25">
        <v>240104365.18000001</v>
      </c>
      <c r="E11" s="26">
        <v>0.89749999999999996</v>
      </c>
      <c r="F11" s="24">
        <v>990</v>
      </c>
      <c r="G11" s="12"/>
      <c r="H11" s="27" t="s">
        <v>16</v>
      </c>
      <c r="I11" s="28">
        <v>65.400000000000006</v>
      </c>
      <c r="J11" s="12"/>
      <c r="K11" s="12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26" x14ac:dyDescent="0.6">
      <c r="A12" s="12"/>
      <c r="B12" s="23" t="s">
        <v>17</v>
      </c>
      <c r="C12" s="24">
        <v>2393</v>
      </c>
      <c r="D12" s="25">
        <v>104346681.23</v>
      </c>
      <c r="E12" s="26">
        <v>0.90849999999999997</v>
      </c>
      <c r="F12" s="24">
        <v>439</v>
      </c>
      <c r="G12" s="12"/>
      <c r="H12" s="27" t="s">
        <v>18</v>
      </c>
      <c r="I12" s="28">
        <v>72.099999999999994</v>
      </c>
      <c r="J12" s="12"/>
      <c r="K12" s="12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26" x14ac:dyDescent="0.6">
      <c r="A13" s="12"/>
      <c r="B13" s="23" t="s">
        <v>19</v>
      </c>
      <c r="C13" s="24">
        <v>1869</v>
      </c>
      <c r="D13" s="25">
        <v>89325000</v>
      </c>
      <c r="E13" s="26">
        <v>0.90849999999999997</v>
      </c>
      <c r="F13" s="24">
        <v>399</v>
      </c>
      <c r="G13" s="12"/>
      <c r="H13" s="27" t="s">
        <v>20</v>
      </c>
      <c r="I13" s="28">
        <v>88.5</v>
      </c>
      <c r="J13" s="12"/>
      <c r="K13" s="12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ht="26" x14ac:dyDescent="0.6">
      <c r="A14" s="12"/>
      <c r="B14" s="23" t="s">
        <v>21</v>
      </c>
      <c r="C14" s="24">
        <v>1747</v>
      </c>
      <c r="D14" s="25">
        <v>83942354.200000003</v>
      </c>
      <c r="E14" s="26">
        <v>0.91700000000000004</v>
      </c>
      <c r="F14" s="24">
        <v>370</v>
      </c>
      <c r="G14" s="12"/>
      <c r="H14" s="27" t="s">
        <v>22</v>
      </c>
      <c r="I14" s="28">
        <v>81.2</v>
      </c>
      <c r="J14" s="12"/>
      <c r="K14" s="12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26" x14ac:dyDescent="0.6">
      <c r="A15" s="12"/>
      <c r="B15" s="23" t="s">
        <v>23</v>
      </c>
      <c r="C15" s="24">
        <v>889</v>
      </c>
      <c r="D15" s="25">
        <v>42758954.240000002</v>
      </c>
      <c r="E15" s="26">
        <v>0.90329999999999999</v>
      </c>
      <c r="F15" s="24">
        <v>154</v>
      </c>
      <c r="G15" s="12"/>
      <c r="H15" s="27" t="s">
        <v>24</v>
      </c>
      <c r="I15" s="28">
        <v>94.3</v>
      </c>
      <c r="J15" s="12"/>
      <c r="K15" s="12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ht="26" x14ac:dyDescent="0.6">
      <c r="A16" s="12"/>
      <c r="B16" s="29" t="s">
        <v>25</v>
      </c>
      <c r="C16" s="30">
        <f>SUM(C11:C15)</f>
        <v>12000</v>
      </c>
      <c r="D16" s="31">
        <f>SUM(D11:D15)</f>
        <v>560477354.85000002</v>
      </c>
      <c r="E16" s="32">
        <f>AVERAGE(E11:E15)</f>
        <v>0.90695999999999999</v>
      </c>
      <c r="F16" s="30">
        <f>SUM(F11:F15)</f>
        <v>2352</v>
      </c>
      <c r="G16" s="12"/>
      <c r="H16" s="27" t="s">
        <v>26</v>
      </c>
      <c r="I16" s="28">
        <v>109.3</v>
      </c>
      <c r="J16" s="12"/>
      <c r="K16" s="12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ht="26" x14ac:dyDescent="0.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26" x14ac:dyDescent="0.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</sheetData>
  <mergeCells count="8">
    <mergeCell ref="K5:L5"/>
    <mergeCell ref="H5:I5"/>
    <mergeCell ref="K6:L6"/>
    <mergeCell ref="B6:C6"/>
    <mergeCell ref="E6:F6"/>
    <mergeCell ref="H6:I6"/>
    <mergeCell ref="B5:C5"/>
    <mergeCell ref="E5:F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4"/>
  <sheetViews>
    <sheetView workbookViewId="0">
      <selection activeCell="G17" sqref="G17"/>
    </sheetView>
  </sheetViews>
  <sheetFormatPr defaultRowHeight="14.5" x14ac:dyDescent="0.35"/>
  <cols>
    <col min="1" max="1" width="18" customWidth="1"/>
    <col min="2" max="2" width="15" customWidth="1"/>
    <col min="3" max="3" width="14" customWidth="1"/>
    <col min="4" max="4" width="15" customWidth="1"/>
    <col min="5" max="5" width="16" customWidth="1"/>
    <col min="6" max="6" width="14" customWidth="1"/>
    <col min="7" max="7" width="19" customWidth="1"/>
  </cols>
  <sheetData>
    <row r="1" spans="1:7" ht="21" x14ac:dyDescent="0.5">
      <c r="A1" s="1" t="s">
        <v>27</v>
      </c>
    </row>
    <row r="2" spans="1:7" x14ac:dyDescent="0.35">
      <c r="A2" s="2"/>
    </row>
    <row r="4" spans="1:7" x14ac:dyDescent="0.35">
      <c r="A4" s="4" t="s">
        <v>28</v>
      </c>
      <c r="B4" s="4" t="s">
        <v>29</v>
      </c>
      <c r="C4" s="4" t="s">
        <v>30</v>
      </c>
      <c r="D4" s="4" t="s">
        <v>8</v>
      </c>
      <c r="E4" s="4" t="s">
        <v>31</v>
      </c>
      <c r="F4" s="4" t="s">
        <v>32</v>
      </c>
      <c r="G4" s="4" t="s">
        <v>33</v>
      </c>
    </row>
    <row r="5" spans="1:7" x14ac:dyDescent="0.35">
      <c r="A5" s="7" t="s">
        <v>34</v>
      </c>
      <c r="B5" s="7" t="s">
        <v>35</v>
      </c>
      <c r="C5" s="7" t="s">
        <v>36</v>
      </c>
      <c r="D5" s="5" t="s">
        <v>15</v>
      </c>
      <c r="E5" s="6">
        <v>26364.6</v>
      </c>
      <c r="F5" s="7" t="s">
        <v>37</v>
      </c>
      <c r="G5" s="7" t="s">
        <v>38</v>
      </c>
    </row>
    <row r="6" spans="1:7" x14ac:dyDescent="0.35">
      <c r="A6" s="7" t="s">
        <v>39</v>
      </c>
      <c r="B6" s="7" t="s">
        <v>40</v>
      </c>
      <c r="C6" s="7" t="s">
        <v>41</v>
      </c>
      <c r="D6" s="5" t="s">
        <v>19</v>
      </c>
      <c r="E6" s="6">
        <v>80153.429999999993</v>
      </c>
      <c r="F6" s="7" t="s">
        <v>37</v>
      </c>
      <c r="G6" s="7" t="s">
        <v>38</v>
      </c>
    </row>
    <row r="7" spans="1:7" x14ac:dyDescent="0.35">
      <c r="A7" s="7" t="s">
        <v>42</v>
      </c>
      <c r="B7" s="7" t="s">
        <v>43</v>
      </c>
      <c r="C7" s="7" t="s">
        <v>44</v>
      </c>
      <c r="D7" s="5" t="s">
        <v>17</v>
      </c>
      <c r="E7" s="6">
        <v>38679.589999999997</v>
      </c>
      <c r="F7" s="7" t="s">
        <v>37</v>
      </c>
      <c r="G7" s="7" t="s">
        <v>38</v>
      </c>
    </row>
    <row r="8" spans="1:7" x14ac:dyDescent="0.35">
      <c r="A8" s="7" t="s">
        <v>45</v>
      </c>
      <c r="B8" s="7" t="s">
        <v>46</v>
      </c>
      <c r="C8" s="7" t="s">
        <v>47</v>
      </c>
      <c r="D8" s="5" t="s">
        <v>15</v>
      </c>
      <c r="E8" s="6">
        <v>5202.6899999999996</v>
      </c>
      <c r="F8" s="7" t="s">
        <v>37</v>
      </c>
      <c r="G8" s="7" t="s">
        <v>38</v>
      </c>
    </row>
    <row r="9" spans="1:7" x14ac:dyDescent="0.35">
      <c r="A9" s="7" t="s">
        <v>48</v>
      </c>
      <c r="B9" s="7" t="s">
        <v>49</v>
      </c>
      <c r="C9" s="7" t="s">
        <v>50</v>
      </c>
      <c r="D9" s="5" t="s">
        <v>21</v>
      </c>
      <c r="E9" s="6">
        <v>19933.88</v>
      </c>
      <c r="F9" s="7" t="s">
        <v>37</v>
      </c>
      <c r="G9" s="7" t="s">
        <v>38</v>
      </c>
    </row>
    <row r="10" spans="1:7" x14ac:dyDescent="0.35">
      <c r="A10" s="7" t="s">
        <v>51</v>
      </c>
      <c r="B10" s="7" t="s">
        <v>52</v>
      </c>
      <c r="C10" s="7" t="s">
        <v>53</v>
      </c>
      <c r="D10" s="5" t="s">
        <v>15</v>
      </c>
      <c r="E10" s="6">
        <v>72959.199999999997</v>
      </c>
      <c r="F10" s="7" t="s">
        <v>37</v>
      </c>
      <c r="G10" s="7" t="s">
        <v>38</v>
      </c>
    </row>
    <row r="11" spans="1:7" x14ac:dyDescent="0.35">
      <c r="A11" s="7" t="s">
        <v>54</v>
      </c>
      <c r="B11" s="7" t="s">
        <v>55</v>
      </c>
      <c r="C11" s="7" t="s">
        <v>56</v>
      </c>
      <c r="D11" s="5" t="s">
        <v>17</v>
      </c>
      <c r="E11" s="6">
        <v>24845.37</v>
      </c>
      <c r="F11" s="7" t="s">
        <v>37</v>
      </c>
      <c r="G11" s="7" t="s">
        <v>38</v>
      </c>
    </row>
    <row r="12" spans="1:7" x14ac:dyDescent="0.35">
      <c r="A12" s="7" t="s">
        <v>57</v>
      </c>
      <c r="B12" s="7" t="s">
        <v>58</v>
      </c>
      <c r="C12" s="7" t="s">
        <v>59</v>
      </c>
      <c r="D12" s="5" t="s">
        <v>19</v>
      </c>
      <c r="E12" s="6">
        <v>46263.73</v>
      </c>
      <c r="F12" s="7" t="s">
        <v>37</v>
      </c>
      <c r="G12" s="7" t="s">
        <v>38</v>
      </c>
    </row>
    <row r="13" spans="1:7" x14ac:dyDescent="0.35">
      <c r="A13" s="7" t="s">
        <v>60</v>
      </c>
      <c r="B13" s="7" t="s">
        <v>61</v>
      </c>
      <c r="C13" s="7" t="s">
        <v>62</v>
      </c>
      <c r="D13" s="5" t="s">
        <v>19</v>
      </c>
      <c r="E13" s="6">
        <v>14487.43</v>
      </c>
      <c r="F13" s="7" t="s">
        <v>37</v>
      </c>
      <c r="G13" s="7" t="s">
        <v>63</v>
      </c>
    </row>
    <row r="14" spans="1:7" x14ac:dyDescent="0.35">
      <c r="A14" s="7" t="s">
        <v>64</v>
      </c>
      <c r="B14" s="7" t="s">
        <v>65</v>
      </c>
      <c r="C14" s="7" t="s">
        <v>66</v>
      </c>
      <c r="D14" s="5" t="s">
        <v>15</v>
      </c>
      <c r="E14" s="6">
        <v>42604.9</v>
      </c>
      <c r="F14" s="7" t="s">
        <v>37</v>
      </c>
      <c r="G14" s="7" t="s">
        <v>38</v>
      </c>
    </row>
    <row r="15" spans="1:7" x14ac:dyDescent="0.35">
      <c r="A15" s="7" t="s">
        <v>67</v>
      </c>
      <c r="B15" s="7" t="s">
        <v>68</v>
      </c>
      <c r="C15" s="7" t="s">
        <v>69</v>
      </c>
      <c r="D15" s="5" t="s">
        <v>15</v>
      </c>
      <c r="E15" s="6">
        <v>3565.49</v>
      </c>
      <c r="F15" s="7" t="s">
        <v>37</v>
      </c>
      <c r="G15" s="7" t="s">
        <v>38</v>
      </c>
    </row>
    <row r="16" spans="1:7" x14ac:dyDescent="0.35">
      <c r="A16" s="7" t="s">
        <v>70</v>
      </c>
      <c r="B16" s="7" t="s">
        <v>71</v>
      </c>
      <c r="C16" s="7" t="s">
        <v>72</v>
      </c>
      <c r="D16" s="5" t="s">
        <v>19</v>
      </c>
      <c r="E16" s="6">
        <v>8423.2999999999993</v>
      </c>
      <c r="F16" s="7" t="s">
        <v>73</v>
      </c>
      <c r="G16" s="7" t="s">
        <v>63</v>
      </c>
    </row>
    <row r="17" spans="1:7" x14ac:dyDescent="0.35">
      <c r="A17" s="7" t="s">
        <v>74</v>
      </c>
      <c r="B17" s="7" t="s">
        <v>75</v>
      </c>
      <c r="C17" s="7" t="s">
        <v>76</v>
      </c>
      <c r="D17" s="5" t="s">
        <v>19</v>
      </c>
      <c r="E17" s="6">
        <v>71481.34</v>
      </c>
      <c r="F17" s="7" t="s">
        <v>37</v>
      </c>
      <c r="G17" s="7" t="s">
        <v>63</v>
      </c>
    </row>
    <row r="18" spans="1:7" x14ac:dyDescent="0.35">
      <c r="A18" s="7" t="s">
        <v>77</v>
      </c>
      <c r="B18" s="7" t="s">
        <v>78</v>
      </c>
      <c r="C18" s="7" t="s">
        <v>79</v>
      </c>
      <c r="D18" s="5" t="s">
        <v>15</v>
      </c>
      <c r="E18" s="6">
        <v>99506.98</v>
      </c>
      <c r="F18" s="7" t="s">
        <v>37</v>
      </c>
      <c r="G18" s="7" t="s">
        <v>38</v>
      </c>
    </row>
    <row r="19" spans="1:7" x14ac:dyDescent="0.35">
      <c r="A19" s="7" t="s">
        <v>80</v>
      </c>
      <c r="B19" s="7" t="s">
        <v>81</v>
      </c>
      <c r="C19" s="7" t="s">
        <v>82</v>
      </c>
      <c r="D19" s="5" t="s">
        <v>17</v>
      </c>
      <c r="E19" s="6">
        <v>33481.410000000003</v>
      </c>
      <c r="F19" s="7" t="s">
        <v>37</v>
      </c>
      <c r="G19" s="7" t="s">
        <v>38</v>
      </c>
    </row>
    <row r="20" spans="1:7" x14ac:dyDescent="0.35">
      <c r="A20" s="7" t="s">
        <v>83</v>
      </c>
      <c r="B20" s="7" t="s">
        <v>58</v>
      </c>
      <c r="C20" s="7" t="s">
        <v>84</v>
      </c>
      <c r="D20" s="5" t="s">
        <v>15</v>
      </c>
      <c r="E20" s="6">
        <v>122703.79</v>
      </c>
      <c r="F20" s="7" t="s">
        <v>37</v>
      </c>
      <c r="G20" s="7" t="s">
        <v>38</v>
      </c>
    </row>
    <row r="21" spans="1:7" x14ac:dyDescent="0.35">
      <c r="A21" s="7" t="s">
        <v>85</v>
      </c>
      <c r="B21" s="7" t="s">
        <v>86</v>
      </c>
      <c r="C21" s="7" t="s">
        <v>87</v>
      </c>
      <c r="D21" s="5" t="s">
        <v>15</v>
      </c>
      <c r="E21" s="6">
        <v>119720.35</v>
      </c>
      <c r="F21" s="7" t="s">
        <v>37</v>
      </c>
      <c r="G21" s="7" t="s">
        <v>38</v>
      </c>
    </row>
    <row r="22" spans="1:7" x14ac:dyDescent="0.35">
      <c r="A22" s="7" t="s">
        <v>88</v>
      </c>
      <c r="B22" s="7" t="s">
        <v>89</v>
      </c>
      <c r="C22" s="7" t="s">
        <v>90</v>
      </c>
      <c r="D22" s="5" t="s">
        <v>15</v>
      </c>
      <c r="E22" s="6">
        <v>47612.17</v>
      </c>
      <c r="F22" s="7" t="s">
        <v>37</v>
      </c>
      <c r="G22" s="7" t="s">
        <v>38</v>
      </c>
    </row>
    <row r="23" spans="1:7" x14ac:dyDescent="0.35">
      <c r="A23" s="7" t="s">
        <v>91</v>
      </c>
      <c r="B23" s="7" t="s">
        <v>92</v>
      </c>
      <c r="C23" s="7" t="s">
        <v>93</v>
      </c>
      <c r="D23" s="5" t="s">
        <v>15</v>
      </c>
      <c r="E23" s="6">
        <v>60445.58</v>
      </c>
      <c r="F23" s="7" t="s">
        <v>37</v>
      </c>
      <c r="G23" s="7" t="s">
        <v>38</v>
      </c>
    </row>
    <row r="24" spans="1:7" x14ac:dyDescent="0.35">
      <c r="A24" s="7" t="s">
        <v>94</v>
      </c>
      <c r="B24" s="7" t="s">
        <v>95</v>
      </c>
      <c r="C24" s="7" t="s">
        <v>96</v>
      </c>
      <c r="D24" s="5" t="s">
        <v>17</v>
      </c>
      <c r="E24" s="6">
        <v>38489.620000000003</v>
      </c>
      <c r="F24" s="7" t="s">
        <v>37</v>
      </c>
      <c r="G24" s="7" t="s">
        <v>38</v>
      </c>
    </row>
    <row r="25" spans="1:7" x14ac:dyDescent="0.35">
      <c r="A25" s="7" t="s">
        <v>97</v>
      </c>
      <c r="B25" s="7" t="s">
        <v>98</v>
      </c>
      <c r="C25" s="7" t="s">
        <v>50</v>
      </c>
      <c r="D25" s="5" t="s">
        <v>15</v>
      </c>
      <c r="E25" s="6">
        <v>3854.02</v>
      </c>
      <c r="F25" s="7" t="s">
        <v>37</v>
      </c>
      <c r="G25" s="7" t="s">
        <v>63</v>
      </c>
    </row>
    <row r="26" spans="1:7" x14ac:dyDescent="0.35">
      <c r="A26" s="7" t="s">
        <v>99</v>
      </c>
      <c r="B26" s="7" t="s">
        <v>100</v>
      </c>
      <c r="C26" s="7" t="s">
        <v>62</v>
      </c>
      <c r="D26" s="5" t="s">
        <v>17</v>
      </c>
      <c r="E26" s="6">
        <v>71488.47</v>
      </c>
      <c r="F26" s="7" t="s">
        <v>37</v>
      </c>
      <c r="G26" s="7" t="s">
        <v>38</v>
      </c>
    </row>
    <row r="27" spans="1:7" x14ac:dyDescent="0.35">
      <c r="A27" s="7" t="s">
        <v>101</v>
      </c>
      <c r="B27" s="7" t="s">
        <v>102</v>
      </c>
      <c r="C27" s="7" t="s">
        <v>103</v>
      </c>
      <c r="D27" s="5" t="s">
        <v>19</v>
      </c>
      <c r="E27" s="6">
        <v>94906.89</v>
      </c>
      <c r="F27" s="7" t="s">
        <v>37</v>
      </c>
      <c r="G27" s="7" t="s">
        <v>38</v>
      </c>
    </row>
    <row r="28" spans="1:7" x14ac:dyDescent="0.35">
      <c r="A28" s="7" t="s">
        <v>104</v>
      </c>
      <c r="B28" s="7" t="s">
        <v>105</v>
      </c>
      <c r="C28" s="7" t="s">
        <v>106</v>
      </c>
      <c r="D28" s="5" t="s">
        <v>23</v>
      </c>
      <c r="E28" s="6">
        <v>2710.65</v>
      </c>
      <c r="F28" s="7" t="s">
        <v>37</v>
      </c>
      <c r="G28" s="7" t="s">
        <v>38</v>
      </c>
    </row>
    <row r="29" spans="1:7" x14ac:dyDescent="0.35">
      <c r="A29" s="7" t="s">
        <v>107</v>
      </c>
      <c r="B29" s="7" t="s">
        <v>108</v>
      </c>
      <c r="C29" s="7" t="s">
        <v>109</v>
      </c>
      <c r="D29" s="5" t="s">
        <v>21</v>
      </c>
      <c r="E29" s="6">
        <v>22415.74</v>
      </c>
      <c r="F29" s="7" t="s">
        <v>110</v>
      </c>
      <c r="G29" s="7" t="s">
        <v>63</v>
      </c>
    </row>
    <row r="30" spans="1:7" x14ac:dyDescent="0.35">
      <c r="A30" s="7" t="s">
        <v>111</v>
      </c>
      <c r="B30" s="7" t="s">
        <v>112</v>
      </c>
      <c r="C30" s="7" t="s">
        <v>109</v>
      </c>
      <c r="D30" s="5" t="s">
        <v>23</v>
      </c>
      <c r="E30" s="6">
        <v>13959.93</v>
      </c>
      <c r="F30" s="7" t="s">
        <v>113</v>
      </c>
      <c r="G30" s="7" t="s">
        <v>38</v>
      </c>
    </row>
    <row r="31" spans="1:7" x14ac:dyDescent="0.35">
      <c r="A31" s="7" t="s">
        <v>114</v>
      </c>
      <c r="B31" s="7" t="s">
        <v>115</v>
      </c>
      <c r="C31" s="7" t="s">
        <v>53</v>
      </c>
      <c r="D31" s="5" t="s">
        <v>15</v>
      </c>
      <c r="E31" s="6">
        <v>10964.31</v>
      </c>
      <c r="F31" s="7" t="s">
        <v>37</v>
      </c>
      <c r="G31" s="7" t="s">
        <v>38</v>
      </c>
    </row>
    <row r="32" spans="1:7" x14ac:dyDescent="0.35">
      <c r="A32" s="7" t="s">
        <v>116</v>
      </c>
      <c r="B32" s="7" t="s">
        <v>117</v>
      </c>
      <c r="C32" s="7" t="s">
        <v>118</v>
      </c>
      <c r="D32" s="5" t="s">
        <v>15</v>
      </c>
      <c r="E32" s="6">
        <v>40264.22</v>
      </c>
      <c r="F32" s="7" t="s">
        <v>37</v>
      </c>
      <c r="G32" s="7" t="s">
        <v>38</v>
      </c>
    </row>
    <row r="33" spans="1:7" x14ac:dyDescent="0.35">
      <c r="A33" s="7" t="s">
        <v>119</v>
      </c>
      <c r="B33" s="7" t="s">
        <v>120</v>
      </c>
      <c r="C33" s="7" t="s">
        <v>121</v>
      </c>
      <c r="D33" s="5" t="s">
        <v>15</v>
      </c>
      <c r="E33" s="6">
        <v>28505.759999999998</v>
      </c>
      <c r="F33" s="7" t="s">
        <v>37</v>
      </c>
      <c r="G33" s="7" t="s">
        <v>63</v>
      </c>
    </row>
    <row r="34" spans="1:7" x14ac:dyDescent="0.35">
      <c r="A34" s="7" t="s">
        <v>122</v>
      </c>
      <c r="B34" s="7" t="s">
        <v>123</v>
      </c>
      <c r="C34" s="7" t="s">
        <v>124</v>
      </c>
      <c r="D34" s="5" t="s">
        <v>19</v>
      </c>
      <c r="E34" s="6">
        <v>76185.47</v>
      </c>
      <c r="F34" s="7" t="s">
        <v>37</v>
      </c>
      <c r="G34" s="7" t="s">
        <v>38</v>
      </c>
    </row>
    <row r="35" spans="1:7" x14ac:dyDescent="0.35">
      <c r="A35" s="7" t="s">
        <v>125</v>
      </c>
      <c r="B35" s="7" t="s">
        <v>120</v>
      </c>
      <c r="C35" s="7" t="s">
        <v>126</v>
      </c>
      <c r="D35" s="5" t="s">
        <v>15</v>
      </c>
      <c r="E35" s="6">
        <v>28120.38</v>
      </c>
      <c r="F35" s="7" t="s">
        <v>37</v>
      </c>
      <c r="G35" s="7" t="s">
        <v>63</v>
      </c>
    </row>
    <row r="36" spans="1:7" x14ac:dyDescent="0.35">
      <c r="A36" s="7" t="s">
        <v>127</v>
      </c>
      <c r="B36" s="7" t="s">
        <v>128</v>
      </c>
      <c r="C36" s="7" t="s">
        <v>129</v>
      </c>
      <c r="D36" s="5" t="s">
        <v>17</v>
      </c>
      <c r="E36" s="6">
        <v>12581.19</v>
      </c>
      <c r="F36" s="7" t="s">
        <v>37</v>
      </c>
      <c r="G36" s="7" t="s">
        <v>63</v>
      </c>
    </row>
    <row r="37" spans="1:7" x14ac:dyDescent="0.35">
      <c r="A37" s="7" t="s">
        <v>130</v>
      </c>
      <c r="B37" s="7" t="s">
        <v>131</v>
      </c>
      <c r="C37" s="7" t="s">
        <v>132</v>
      </c>
      <c r="D37" s="5" t="s">
        <v>21</v>
      </c>
      <c r="E37" s="6">
        <v>23535.24</v>
      </c>
      <c r="F37" s="7" t="s">
        <v>37</v>
      </c>
      <c r="G37" s="7" t="s">
        <v>38</v>
      </c>
    </row>
    <row r="38" spans="1:7" x14ac:dyDescent="0.35">
      <c r="A38" s="7" t="s">
        <v>133</v>
      </c>
      <c r="B38" s="7" t="s">
        <v>134</v>
      </c>
      <c r="C38" s="7" t="s">
        <v>135</v>
      </c>
      <c r="D38" s="5" t="s">
        <v>17</v>
      </c>
      <c r="E38" s="6">
        <v>16599.669999999998</v>
      </c>
      <c r="F38" s="7" t="s">
        <v>37</v>
      </c>
      <c r="G38" s="7" t="s">
        <v>38</v>
      </c>
    </row>
    <row r="39" spans="1:7" x14ac:dyDescent="0.35">
      <c r="A39" s="7" t="s">
        <v>136</v>
      </c>
      <c r="B39" s="7" t="s">
        <v>137</v>
      </c>
      <c r="C39" s="7" t="s">
        <v>69</v>
      </c>
      <c r="D39" s="5" t="s">
        <v>23</v>
      </c>
      <c r="E39" s="6">
        <v>139869.51</v>
      </c>
      <c r="F39" s="7" t="s">
        <v>37</v>
      </c>
      <c r="G39" s="7" t="s">
        <v>38</v>
      </c>
    </row>
    <row r="40" spans="1:7" x14ac:dyDescent="0.35">
      <c r="A40" s="7" t="s">
        <v>138</v>
      </c>
      <c r="B40" s="7" t="s">
        <v>139</v>
      </c>
      <c r="C40" s="7" t="s">
        <v>140</v>
      </c>
      <c r="D40" s="5" t="s">
        <v>15</v>
      </c>
      <c r="E40" s="6">
        <v>24930.43</v>
      </c>
      <c r="F40" s="7" t="s">
        <v>37</v>
      </c>
      <c r="G40" s="7" t="s">
        <v>38</v>
      </c>
    </row>
    <row r="41" spans="1:7" x14ac:dyDescent="0.35">
      <c r="A41" s="7" t="s">
        <v>141</v>
      </c>
      <c r="B41" s="7" t="s">
        <v>35</v>
      </c>
      <c r="C41" s="7" t="s">
        <v>142</v>
      </c>
      <c r="D41" s="5" t="s">
        <v>21</v>
      </c>
      <c r="E41" s="6">
        <v>10572.24</v>
      </c>
      <c r="F41" s="7" t="s">
        <v>37</v>
      </c>
      <c r="G41" s="7" t="s">
        <v>38</v>
      </c>
    </row>
    <row r="42" spans="1:7" x14ac:dyDescent="0.35">
      <c r="A42" s="7" t="s">
        <v>143</v>
      </c>
      <c r="B42" s="7" t="s">
        <v>105</v>
      </c>
      <c r="C42" s="7" t="s">
        <v>144</v>
      </c>
      <c r="D42" s="5" t="s">
        <v>23</v>
      </c>
      <c r="E42" s="6">
        <v>76369</v>
      </c>
      <c r="F42" s="7" t="s">
        <v>37</v>
      </c>
      <c r="G42" s="7" t="s">
        <v>38</v>
      </c>
    </row>
    <row r="43" spans="1:7" x14ac:dyDescent="0.35">
      <c r="A43" s="7" t="s">
        <v>145</v>
      </c>
      <c r="B43" s="7" t="s">
        <v>131</v>
      </c>
      <c r="C43" s="7" t="s">
        <v>146</v>
      </c>
      <c r="D43" s="5" t="s">
        <v>21</v>
      </c>
      <c r="E43" s="6">
        <v>21233.79</v>
      </c>
      <c r="F43" s="7" t="s">
        <v>37</v>
      </c>
      <c r="G43" s="7" t="s">
        <v>38</v>
      </c>
    </row>
    <row r="44" spans="1:7" x14ac:dyDescent="0.35">
      <c r="A44" s="7" t="s">
        <v>147</v>
      </c>
      <c r="B44" s="7" t="s">
        <v>75</v>
      </c>
      <c r="C44" s="7" t="s">
        <v>148</v>
      </c>
      <c r="D44" s="5" t="s">
        <v>17</v>
      </c>
      <c r="E44" s="6">
        <v>2692.88</v>
      </c>
      <c r="F44" s="7" t="s">
        <v>37</v>
      </c>
      <c r="G44" s="7" t="s">
        <v>63</v>
      </c>
    </row>
    <row r="45" spans="1:7" x14ac:dyDescent="0.35">
      <c r="A45" s="7" t="s">
        <v>149</v>
      </c>
      <c r="B45" s="7" t="s">
        <v>131</v>
      </c>
      <c r="C45" s="7" t="s">
        <v>150</v>
      </c>
      <c r="D45" s="5" t="s">
        <v>21</v>
      </c>
      <c r="E45" s="6">
        <v>30438.71</v>
      </c>
      <c r="F45" s="7" t="s">
        <v>37</v>
      </c>
      <c r="G45" s="7" t="s">
        <v>63</v>
      </c>
    </row>
    <row r="46" spans="1:7" x14ac:dyDescent="0.35">
      <c r="A46" s="7" t="s">
        <v>151</v>
      </c>
      <c r="B46" s="7" t="s">
        <v>52</v>
      </c>
      <c r="C46" s="7" t="s">
        <v>152</v>
      </c>
      <c r="D46" s="5" t="s">
        <v>15</v>
      </c>
      <c r="E46" s="6">
        <v>6988.71</v>
      </c>
      <c r="F46" s="7" t="s">
        <v>37</v>
      </c>
      <c r="G46" s="7" t="s">
        <v>38</v>
      </c>
    </row>
    <row r="47" spans="1:7" x14ac:dyDescent="0.35">
      <c r="A47" s="7" t="s">
        <v>153</v>
      </c>
      <c r="B47" s="7" t="s">
        <v>154</v>
      </c>
      <c r="C47" s="7" t="s">
        <v>155</v>
      </c>
      <c r="D47" s="5" t="s">
        <v>15</v>
      </c>
      <c r="E47" s="6">
        <v>19615.919999999998</v>
      </c>
      <c r="F47" s="7" t="s">
        <v>37</v>
      </c>
      <c r="G47" s="7" t="s">
        <v>38</v>
      </c>
    </row>
    <row r="48" spans="1:7" x14ac:dyDescent="0.35">
      <c r="A48" s="7" t="s">
        <v>156</v>
      </c>
      <c r="B48" s="7" t="s">
        <v>157</v>
      </c>
      <c r="C48" s="7" t="s">
        <v>158</v>
      </c>
      <c r="D48" s="5" t="s">
        <v>19</v>
      </c>
      <c r="E48" s="6">
        <v>61941.2</v>
      </c>
      <c r="F48" s="7" t="s">
        <v>37</v>
      </c>
      <c r="G48" s="7" t="s">
        <v>38</v>
      </c>
    </row>
    <row r="49" spans="1:7" x14ac:dyDescent="0.35">
      <c r="A49" s="7" t="s">
        <v>159</v>
      </c>
      <c r="B49" s="7" t="s">
        <v>160</v>
      </c>
      <c r="C49" s="7" t="s">
        <v>82</v>
      </c>
      <c r="D49" s="5" t="s">
        <v>15</v>
      </c>
      <c r="E49" s="6">
        <v>31625.66</v>
      </c>
      <c r="F49" s="7" t="s">
        <v>37</v>
      </c>
      <c r="G49" s="7" t="s">
        <v>63</v>
      </c>
    </row>
    <row r="50" spans="1:7" x14ac:dyDescent="0.35">
      <c r="A50" s="7" t="s">
        <v>161</v>
      </c>
      <c r="B50" s="7" t="s">
        <v>92</v>
      </c>
      <c r="C50" s="7" t="s">
        <v>96</v>
      </c>
      <c r="D50" s="5" t="s">
        <v>17</v>
      </c>
      <c r="E50" s="6">
        <v>60335.8</v>
      </c>
      <c r="F50" s="7" t="s">
        <v>37</v>
      </c>
      <c r="G50" s="7" t="s">
        <v>38</v>
      </c>
    </row>
    <row r="51" spans="1:7" x14ac:dyDescent="0.35">
      <c r="A51" s="7" t="s">
        <v>162</v>
      </c>
      <c r="B51" s="7" t="s">
        <v>163</v>
      </c>
      <c r="C51" s="7" t="s">
        <v>164</v>
      </c>
      <c r="D51" s="5" t="s">
        <v>21</v>
      </c>
      <c r="E51" s="6">
        <v>79703.37</v>
      </c>
      <c r="F51" s="7" t="s">
        <v>37</v>
      </c>
      <c r="G51" s="7" t="s">
        <v>38</v>
      </c>
    </row>
    <row r="52" spans="1:7" x14ac:dyDescent="0.35">
      <c r="A52" s="7" t="s">
        <v>165</v>
      </c>
      <c r="B52" s="7" t="s">
        <v>166</v>
      </c>
      <c r="C52" s="7" t="s">
        <v>167</v>
      </c>
      <c r="D52" s="5" t="s">
        <v>19</v>
      </c>
      <c r="E52" s="6">
        <v>39047.730000000003</v>
      </c>
      <c r="F52" s="7" t="s">
        <v>37</v>
      </c>
      <c r="G52" s="7" t="s">
        <v>63</v>
      </c>
    </row>
    <row r="53" spans="1:7" x14ac:dyDescent="0.35">
      <c r="A53" s="7" t="s">
        <v>168</v>
      </c>
      <c r="B53" s="7" t="s">
        <v>115</v>
      </c>
      <c r="C53" s="7" t="s">
        <v>53</v>
      </c>
      <c r="D53" s="5" t="s">
        <v>23</v>
      </c>
      <c r="E53" s="6">
        <v>76080.89</v>
      </c>
      <c r="F53" s="7" t="s">
        <v>37</v>
      </c>
      <c r="G53" s="7" t="s">
        <v>38</v>
      </c>
    </row>
    <row r="54" spans="1:7" x14ac:dyDescent="0.35">
      <c r="A54" s="7" t="s">
        <v>169</v>
      </c>
      <c r="B54" s="7" t="s">
        <v>170</v>
      </c>
      <c r="C54" s="7" t="s">
        <v>171</v>
      </c>
      <c r="D54" s="5" t="s">
        <v>21</v>
      </c>
      <c r="E54" s="6">
        <v>5718.76</v>
      </c>
      <c r="F54" s="7" t="s">
        <v>37</v>
      </c>
      <c r="G54" s="7" t="s">
        <v>38</v>
      </c>
    </row>
    <row r="55" spans="1:7" x14ac:dyDescent="0.35">
      <c r="A55" s="7" t="s">
        <v>172</v>
      </c>
      <c r="B55" s="7" t="s">
        <v>173</v>
      </c>
      <c r="C55" s="7" t="s">
        <v>174</v>
      </c>
      <c r="D55" s="5" t="s">
        <v>23</v>
      </c>
      <c r="E55" s="6">
        <v>47041.03</v>
      </c>
      <c r="F55" s="7" t="s">
        <v>37</v>
      </c>
      <c r="G55" s="7" t="s">
        <v>63</v>
      </c>
    </row>
    <row r="56" spans="1:7" x14ac:dyDescent="0.35">
      <c r="A56" s="7" t="s">
        <v>175</v>
      </c>
      <c r="B56" s="7" t="s">
        <v>176</v>
      </c>
      <c r="C56" s="7" t="s">
        <v>177</v>
      </c>
      <c r="D56" s="5" t="s">
        <v>15</v>
      </c>
      <c r="E56" s="6">
        <v>34704.44</v>
      </c>
      <c r="F56" s="7" t="s">
        <v>37</v>
      </c>
      <c r="G56" s="7" t="s">
        <v>38</v>
      </c>
    </row>
    <row r="57" spans="1:7" x14ac:dyDescent="0.35">
      <c r="A57" s="7" t="s">
        <v>178</v>
      </c>
      <c r="B57" s="7" t="s">
        <v>123</v>
      </c>
      <c r="C57" s="7" t="s">
        <v>179</v>
      </c>
      <c r="D57" s="5" t="s">
        <v>17</v>
      </c>
      <c r="E57" s="6">
        <v>26138.39</v>
      </c>
      <c r="F57" s="7" t="s">
        <v>37</v>
      </c>
      <c r="G57" s="7" t="s">
        <v>38</v>
      </c>
    </row>
    <row r="58" spans="1:7" x14ac:dyDescent="0.35">
      <c r="A58" s="7" t="s">
        <v>180</v>
      </c>
      <c r="B58" s="7" t="s">
        <v>115</v>
      </c>
      <c r="C58" s="7" t="s">
        <v>177</v>
      </c>
      <c r="D58" s="5" t="s">
        <v>15</v>
      </c>
      <c r="E58" s="6">
        <v>58421.7</v>
      </c>
      <c r="F58" s="7" t="s">
        <v>37</v>
      </c>
      <c r="G58" s="7" t="s">
        <v>38</v>
      </c>
    </row>
    <row r="59" spans="1:7" x14ac:dyDescent="0.35">
      <c r="A59" s="7" t="s">
        <v>181</v>
      </c>
      <c r="B59" s="7" t="s">
        <v>182</v>
      </c>
      <c r="C59" s="7" t="s">
        <v>183</v>
      </c>
      <c r="D59" s="5" t="s">
        <v>15</v>
      </c>
      <c r="E59" s="6">
        <v>5580.89</v>
      </c>
      <c r="F59" s="7" t="s">
        <v>37</v>
      </c>
      <c r="G59" s="7" t="s">
        <v>38</v>
      </c>
    </row>
    <row r="60" spans="1:7" x14ac:dyDescent="0.35">
      <c r="A60" s="7" t="s">
        <v>184</v>
      </c>
      <c r="B60" s="7" t="s">
        <v>185</v>
      </c>
      <c r="C60" s="7" t="s">
        <v>186</v>
      </c>
      <c r="D60" s="5" t="s">
        <v>21</v>
      </c>
      <c r="E60" s="6">
        <v>17730.330000000002</v>
      </c>
      <c r="F60" s="7" t="s">
        <v>37</v>
      </c>
      <c r="G60" s="7" t="s">
        <v>38</v>
      </c>
    </row>
    <row r="61" spans="1:7" x14ac:dyDescent="0.35">
      <c r="A61" s="7" t="s">
        <v>187</v>
      </c>
      <c r="B61" s="7" t="s">
        <v>188</v>
      </c>
      <c r="C61" s="7" t="s">
        <v>189</v>
      </c>
      <c r="D61" s="5" t="s">
        <v>23</v>
      </c>
      <c r="E61" s="6">
        <v>2438.96</v>
      </c>
      <c r="F61" s="7" t="s">
        <v>37</v>
      </c>
      <c r="G61" s="7" t="s">
        <v>38</v>
      </c>
    </row>
    <row r="62" spans="1:7" x14ac:dyDescent="0.35">
      <c r="A62" s="7" t="s">
        <v>190</v>
      </c>
      <c r="B62" s="7" t="s">
        <v>191</v>
      </c>
      <c r="C62" s="7" t="s">
        <v>192</v>
      </c>
      <c r="D62" s="5" t="s">
        <v>15</v>
      </c>
      <c r="E62" s="6">
        <v>94332.22</v>
      </c>
      <c r="F62" s="7" t="s">
        <v>37</v>
      </c>
      <c r="G62" s="7" t="s">
        <v>38</v>
      </c>
    </row>
    <row r="63" spans="1:7" x14ac:dyDescent="0.35">
      <c r="A63" s="7" t="s">
        <v>193</v>
      </c>
      <c r="B63" s="7" t="s">
        <v>194</v>
      </c>
      <c r="C63" s="7" t="s">
        <v>195</v>
      </c>
      <c r="D63" s="5" t="s">
        <v>19</v>
      </c>
      <c r="E63" s="6">
        <v>88223.91</v>
      </c>
      <c r="F63" s="7" t="s">
        <v>37</v>
      </c>
      <c r="G63" s="7" t="s">
        <v>38</v>
      </c>
    </row>
    <row r="64" spans="1:7" x14ac:dyDescent="0.35">
      <c r="A64" s="7" t="s">
        <v>196</v>
      </c>
      <c r="B64" s="7" t="s">
        <v>197</v>
      </c>
      <c r="C64" s="7" t="s">
        <v>198</v>
      </c>
      <c r="D64" s="5" t="s">
        <v>17</v>
      </c>
      <c r="E64" s="6">
        <v>29191.200000000001</v>
      </c>
      <c r="F64" s="7" t="s">
        <v>37</v>
      </c>
      <c r="G64" s="7" t="s">
        <v>38</v>
      </c>
    </row>
    <row r="65" spans="1:7" x14ac:dyDescent="0.35">
      <c r="A65" s="7" t="s">
        <v>199</v>
      </c>
      <c r="B65" s="7" t="s">
        <v>61</v>
      </c>
      <c r="C65" s="7" t="s">
        <v>200</v>
      </c>
      <c r="D65" s="5" t="s">
        <v>15</v>
      </c>
      <c r="E65" s="6">
        <v>4692.51</v>
      </c>
      <c r="F65" s="7" t="s">
        <v>73</v>
      </c>
      <c r="G65" s="7" t="s">
        <v>38</v>
      </c>
    </row>
    <row r="66" spans="1:7" x14ac:dyDescent="0.35">
      <c r="A66" s="7" t="s">
        <v>201</v>
      </c>
      <c r="B66" s="7" t="s">
        <v>202</v>
      </c>
      <c r="C66" s="7" t="s">
        <v>203</v>
      </c>
      <c r="D66" s="5" t="s">
        <v>19</v>
      </c>
      <c r="E66" s="6">
        <v>13259.61</v>
      </c>
      <c r="F66" s="7" t="s">
        <v>37</v>
      </c>
      <c r="G66" s="7" t="s">
        <v>38</v>
      </c>
    </row>
    <row r="67" spans="1:7" x14ac:dyDescent="0.35">
      <c r="A67" s="7" t="s">
        <v>204</v>
      </c>
      <c r="B67" s="7" t="s">
        <v>160</v>
      </c>
      <c r="C67" s="7" t="s">
        <v>205</v>
      </c>
      <c r="D67" s="5" t="s">
        <v>15</v>
      </c>
      <c r="E67" s="6">
        <v>80980.12</v>
      </c>
      <c r="F67" s="7" t="s">
        <v>37</v>
      </c>
      <c r="G67" s="7" t="s">
        <v>38</v>
      </c>
    </row>
    <row r="68" spans="1:7" x14ac:dyDescent="0.35">
      <c r="A68" s="7" t="s">
        <v>206</v>
      </c>
      <c r="B68" s="7" t="s">
        <v>163</v>
      </c>
      <c r="C68" s="7" t="s">
        <v>207</v>
      </c>
      <c r="D68" s="5" t="s">
        <v>15</v>
      </c>
      <c r="E68" s="6">
        <v>69235.92</v>
      </c>
      <c r="F68" s="7" t="s">
        <v>73</v>
      </c>
      <c r="G68" s="7" t="s">
        <v>63</v>
      </c>
    </row>
    <row r="69" spans="1:7" x14ac:dyDescent="0.35">
      <c r="A69" s="7" t="s">
        <v>208</v>
      </c>
      <c r="B69" s="7" t="s">
        <v>117</v>
      </c>
      <c r="C69" s="7" t="s">
        <v>146</v>
      </c>
      <c r="D69" s="5" t="s">
        <v>19</v>
      </c>
      <c r="E69" s="6">
        <v>45573.19</v>
      </c>
      <c r="F69" s="7" t="s">
        <v>37</v>
      </c>
      <c r="G69" s="7" t="s">
        <v>38</v>
      </c>
    </row>
    <row r="70" spans="1:7" x14ac:dyDescent="0.35">
      <c r="A70" s="7" t="s">
        <v>209</v>
      </c>
      <c r="B70" s="7" t="s">
        <v>120</v>
      </c>
      <c r="C70" s="7" t="s">
        <v>82</v>
      </c>
      <c r="D70" s="5" t="s">
        <v>17</v>
      </c>
      <c r="E70" s="6">
        <v>33864.75</v>
      </c>
      <c r="F70" s="7" t="s">
        <v>37</v>
      </c>
      <c r="G70" s="7" t="s">
        <v>38</v>
      </c>
    </row>
    <row r="71" spans="1:7" x14ac:dyDescent="0.35">
      <c r="A71" s="7" t="s">
        <v>210</v>
      </c>
      <c r="B71" s="7" t="s">
        <v>211</v>
      </c>
      <c r="C71" s="7" t="s">
        <v>212</v>
      </c>
      <c r="D71" s="5" t="s">
        <v>15</v>
      </c>
      <c r="E71" s="6">
        <v>8730.77</v>
      </c>
      <c r="F71" s="7" t="s">
        <v>37</v>
      </c>
      <c r="G71" s="7" t="s">
        <v>63</v>
      </c>
    </row>
    <row r="72" spans="1:7" x14ac:dyDescent="0.35">
      <c r="A72" s="7" t="s">
        <v>213</v>
      </c>
      <c r="B72" s="7" t="s">
        <v>95</v>
      </c>
      <c r="C72" s="7" t="s">
        <v>214</v>
      </c>
      <c r="D72" s="5" t="s">
        <v>15</v>
      </c>
      <c r="E72" s="6">
        <v>73643.97</v>
      </c>
      <c r="F72" s="7" t="s">
        <v>37</v>
      </c>
      <c r="G72" s="7" t="s">
        <v>38</v>
      </c>
    </row>
    <row r="73" spans="1:7" x14ac:dyDescent="0.35">
      <c r="A73" s="7" t="s">
        <v>215</v>
      </c>
      <c r="B73" s="7" t="s">
        <v>216</v>
      </c>
      <c r="C73" s="7" t="s">
        <v>217</v>
      </c>
      <c r="D73" s="5" t="s">
        <v>15</v>
      </c>
      <c r="E73" s="6">
        <v>40630.06</v>
      </c>
      <c r="F73" s="7" t="s">
        <v>37</v>
      </c>
      <c r="G73" s="7" t="s">
        <v>38</v>
      </c>
    </row>
    <row r="74" spans="1:7" x14ac:dyDescent="0.35">
      <c r="A74" s="7" t="s">
        <v>218</v>
      </c>
      <c r="B74" s="7" t="s">
        <v>120</v>
      </c>
      <c r="C74" s="7" t="s">
        <v>219</v>
      </c>
      <c r="D74" s="5" t="s">
        <v>21</v>
      </c>
      <c r="E74" s="6">
        <v>31052.93</v>
      </c>
      <c r="F74" s="7" t="s">
        <v>37</v>
      </c>
      <c r="G74" s="7" t="s">
        <v>38</v>
      </c>
    </row>
    <row r="75" spans="1:7" x14ac:dyDescent="0.35">
      <c r="A75" s="7" t="s">
        <v>220</v>
      </c>
      <c r="B75" s="7" t="s">
        <v>89</v>
      </c>
      <c r="C75" s="7" t="s">
        <v>221</v>
      </c>
      <c r="D75" s="5" t="s">
        <v>15</v>
      </c>
      <c r="E75" s="6">
        <v>136161.44</v>
      </c>
      <c r="F75" s="7" t="s">
        <v>37</v>
      </c>
      <c r="G75" s="7" t="s">
        <v>38</v>
      </c>
    </row>
    <row r="76" spans="1:7" x14ac:dyDescent="0.35">
      <c r="A76" s="7" t="s">
        <v>222</v>
      </c>
      <c r="B76" s="7" t="s">
        <v>223</v>
      </c>
      <c r="C76" s="7" t="s">
        <v>179</v>
      </c>
      <c r="D76" s="5" t="s">
        <v>19</v>
      </c>
      <c r="E76" s="6">
        <v>10488.89</v>
      </c>
      <c r="F76" s="7" t="s">
        <v>37</v>
      </c>
      <c r="G76" s="7" t="s">
        <v>38</v>
      </c>
    </row>
    <row r="77" spans="1:7" x14ac:dyDescent="0.35">
      <c r="A77" s="7" t="s">
        <v>224</v>
      </c>
      <c r="B77" s="7" t="s">
        <v>225</v>
      </c>
      <c r="C77" s="7" t="s">
        <v>226</v>
      </c>
      <c r="D77" s="5" t="s">
        <v>17</v>
      </c>
      <c r="E77" s="6">
        <v>61851.1</v>
      </c>
      <c r="F77" s="7" t="s">
        <v>37</v>
      </c>
      <c r="G77" s="7" t="s">
        <v>63</v>
      </c>
    </row>
    <row r="78" spans="1:7" x14ac:dyDescent="0.35">
      <c r="A78" s="7" t="s">
        <v>227</v>
      </c>
      <c r="B78" s="7" t="s">
        <v>228</v>
      </c>
      <c r="C78" s="7" t="s">
        <v>229</v>
      </c>
      <c r="D78" s="5" t="s">
        <v>17</v>
      </c>
      <c r="E78" s="6">
        <v>124626.75</v>
      </c>
      <c r="F78" s="7" t="s">
        <v>37</v>
      </c>
      <c r="G78" s="7" t="s">
        <v>38</v>
      </c>
    </row>
    <row r="79" spans="1:7" x14ac:dyDescent="0.35">
      <c r="A79" s="7" t="s">
        <v>230</v>
      </c>
      <c r="B79" s="7" t="s">
        <v>231</v>
      </c>
      <c r="C79" s="7" t="s">
        <v>232</v>
      </c>
      <c r="D79" s="5" t="s">
        <v>19</v>
      </c>
      <c r="E79" s="6">
        <v>45650.25</v>
      </c>
      <c r="F79" s="7" t="s">
        <v>37</v>
      </c>
      <c r="G79" s="7" t="s">
        <v>63</v>
      </c>
    </row>
    <row r="80" spans="1:7" x14ac:dyDescent="0.35">
      <c r="A80" s="7" t="s">
        <v>233</v>
      </c>
      <c r="B80" s="7" t="s">
        <v>234</v>
      </c>
      <c r="C80" s="7" t="s">
        <v>235</v>
      </c>
      <c r="D80" s="5" t="s">
        <v>21</v>
      </c>
      <c r="E80" s="6">
        <v>40124.29</v>
      </c>
      <c r="F80" s="7" t="s">
        <v>37</v>
      </c>
      <c r="G80" s="7" t="s">
        <v>38</v>
      </c>
    </row>
    <row r="81" spans="1:7" x14ac:dyDescent="0.35">
      <c r="A81" s="7" t="s">
        <v>236</v>
      </c>
      <c r="B81" s="7" t="s">
        <v>237</v>
      </c>
      <c r="C81" s="7" t="s">
        <v>238</v>
      </c>
      <c r="D81" s="5" t="s">
        <v>17</v>
      </c>
      <c r="E81" s="6">
        <v>74975.87</v>
      </c>
      <c r="F81" s="7" t="s">
        <v>37</v>
      </c>
      <c r="G81" s="7" t="s">
        <v>38</v>
      </c>
    </row>
    <row r="82" spans="1:7" x14ac:dyDescent="0.35">
      <c r="A82" s="7" t="s">
        <v>239</v>
      </c>
      <c r="B82" s="7" t="s">
        <v>105</v>
      </c>
      <c r="C82" s="7" t="s">
        <v>240</v>
      </c>
      <c r="D82" s="5" t="s">
        <v>19</v>
      </c>
      <c r="E82" s="6">
        <v>12242.13</v>
      </c>
      <c r="F82" s="7" t="s">
        <v>37</v>
      </c>
      <c r="G82" s="7" t="s">
        <v>38</v>
      </c>
    </row>
    <row r="83" spans="1:7" x14ac:dyDescent="0.35">
      <c r="A83" s="7" t="s">
        <v>241</v>
      </c>
      <c r="B83" s="7" t="s">
        <v>242</v>
      </c>
      <c r="C83" s="7" t="s">
        <v>229</v>
      </c>
      <c r="D83" s="5" t="s">
        <v>21</v>
      </c>
      <c r="E83" s="6">
        <v>8691.77</v>
      </c>
      <c r="F83" s="7" t="s">
        <v>113</v>
      </c>
      <c r="G83" s="7" t="s">
        <v>38</v>
      </c>
    </row>
    <row r="84" spans="1:7" x14ac:dyDescent="0.35">
      <c r="A84" s="7" t="s">
        <v>243</v>
      </c>
      <c r="B84" s="7" t="s">
        <v>244</v>
      </c>
      <c r="C84" s="7" t="s">
        <v>245</v>
      </c>
      <c r="D84" s="5" t="s">
        <v>15</v>
      </c>
      <c r="E84" s="6">
        <v>14056.38</v>
      </c>
      <c r="F84" s="7" t="s">
        <v>37</v>
      </c>
      <c r="G84" s="7" t="s">
        <v>38</v>
      </c>
    </row>
    <row r="85" spans="1:7" x14ac:dyDescent="0.35">
      <c r="A85" s="7" t="s">
        <v>246</v>
      </c>
      <c r="B85" s="7" t="s">
        <v>247</v>
      </c>
      <c r="C85" s="7" t="s">
        <v>248</v>
      </c>
      <c r="D85" s="5" t="s">
        <v>15</v>
      </c>
      <c r="E85" s="6">
        <v>10449.24</v>
      </c>
      <c r="F85" s="7" t="s">
        <v>37</v>
      </c>
      <c r="G85" s="7" t="s">
        <v>38</v>
      </c>
    </row>
    <row r="86" spans="1:7" x14ac:dyDescent="0.35">
      <c r="A86" s="7" t="s">
        <v>249</v>
      </c>
      <c r="B86" s="7" t="s">
        <v>250</v>
      </c>
      <c r="C86" s="7" t="s">
        <v>109</v>
      </c>
      <c r="D86" s="5" t="s">
        <v>17</v>
      </c>
      <c r="E86" s="6">
        <v>28474.52</v>
      </c>
      <c r="F86" s="7" t="s">
        <v>37</v>
      </c>
      <c r="G86" s="7" t="s">
        <v>38</v>
      </c>
    </row>
    <row r="87" spans="1:7" x14ac:dyDescent="0.35">
      <c r="A87" s="7" t="s">
        <v>251</v>
      </c>
      <c r="B87" s="7" t="s">
        <v>71</v>
      </c>
      <c r="C87" s="7" t="s">
        <v>221</v>
      </c>
      <c r="D87" s="5" t="s">
        <v>17</v>
      </c>
      <c r="E87" s="6">
        <v>53605.13</v>
      </c>
      <c r="F87" s="7" t="s">
        <v>37</v>
      </c>
      <c r="G87" s="7" t="s">
        <v>63</v>
      </c>
    </row>
    <row r="88" spans="1:7" x14ac:dyDescent="0.35">
      <c r="A88" s="7" t="s">
        <v>252</v>
      </c>
      <c r="B88" s="7" t="s">
        <v>253</v>
      </c>
      <c r="C88" s="7" t="s">
        <v>254</v>
      </c>
      <c r="D88" s="5" t="s">
        <v>15</v>
      </c>
      <c r="E88" s="6">
        <v>39721.9</v>
      </c>
      <c r="F88" s="7" t="s">
        <v>37</v>
      </c>
      <c r="G88" s="7" t="s">
        <v>38</v>
      </c>
    </row>
    <row r="89" spans="1:7" x14ac:dyDescent="0.35">
      <c r="A89" s="7" t="s">
        <v>255</v>
      </c>
      <c r="B89" s="7" t="s">
        <v>71</v>
      </c>
      <c r="C89" s="7" t="s">
        <v>256</v>
      </c>
      <c r="D89" s="5" t="s">
        <v>17</v>
      </c>
      <c r="E89" s="6">
        <v>111137.62</v>
      </c>
      <c r="F89" s="7" t="s">
        <v>37</v>
      </c>
      <c r="G89" s="7" t="s">
        <v>38</v>
      </c>
    </row>
    <row r="90" spans="1:7" x14ac:dyDescent="0.35">
      <c r="A90" s="7" t="s">
        <v>257</v>
      </c>
      <c r="B90" s="7" t="s">
        <v>176</v>
      </c>
      <c r="C90" s="7" t="s">
        <v>258</v>
      </c>
      <c r="D90" s="5" t="s">
        <v>19</v>
      </c>
      <c r="E90" s="6">
        <v>22874.79</v>
      </c>
      <c r="F90" s="7" t="s">
        <v>37</v>
      </c>
      <c r="G90" s="7" t="s">
        <v>38</v>
      </c>
    </row>
    <row r="91" spans="1:7" x14ac:dyDescent="0.35">
      <c r="A91" s="7" t="s">
        <v>259</v>
      </c>
      <c r="B91" s="7" t="s">
        <v>260</v>
      </c>
      <c r="C91" s="7" t="s">
        <v>261</v>
      </c>
      <c r="D91" s="5" t="s">
        <v>19</v>
      </c>
      <c r="E91" s="6">
        <v>88830.49</v>
      </c>
      <c r="F91" s="7" t="s">
        <v>37</v>
      </c>
      <c r="G91" s="7" t="s">
        <v>38</v>
      </c>
    </row>
    <row r="92" spans="1:7" x14ac:dyDescent="0.35">
      <c r="A92" s="7" t="s">
        <v>262</v>
      </c>
      <c r="B92" s="7" t="s">
        <v>163</v>
      </c>
      <c r="C92" s="7" t="s">
        <v>245</v>
      </c>
      <c r="D92" s="5" t="s">
        <v>19</v>
      </c>
      <c r="E92" s="6">
        <v>16457.41</v>
      </c>
      <c r="F92" s="7" t="s">
        <v>37</v>
      </c>
      <c r="G92" s="7" t="s">
        <v>38</v>
      </c>
    </row>
    <row r="93" spans="1:7" x14ac:dyDescent="0.35">
      <c r="A93" s="7" t="s">
        <v>263</v>
      </c>
      <c r="B93" s="7" t="s">
        <v>46</v>
      </c>
      <c r="C93" s="7" t="s">
        <v>264</v>
      </c>
      <c r="D93" s="5" t="s">
        <v>21</v>
      </c>
      <c r="E93" s="6">
        <v>16774</v>
      </c>
      <c r="F93" s="7" t="s">
        <v>110</v>
      </c>
      <c r="G93" s="7" t="s">
        <v>38</v>
      </c>
    </row>
    <row r="94" spans="1:7" x14ac:dyDescent="0.35">
      <c r="A94" s="7" t="s">
        <v>265</v>
      </c>
      <c r="B94" s="7" t="s">
        <v>108</v>
      </c>
      <c r="C94" s="7" t="s">
        <v>266</v>
      </c>
      <c r="D94" s="5" t="s">
        <v>23</v>
      </c>
      <c r="E94" s="6">
        <v>2579.3200000000002</v>
      </c>
      <c r="F94" s="7" t="s">
        <v>37</v>
      </c>
      <c r="G94" s="7" t="s">
        <v>38</v>
      </c>
    </row>
    <row r="95" spans="1:7" x14ac:dyDescent="0.35">
      <c r="A95" s="7" t="s">
        <v>267</v>
      </c>
      <c r="B95" s="7" t="s">
        <v>268</v>
      </c>
      <c r="C95" s="7" t="s">
        <v>200</v>
      </c>
      <c r="D95" s="5" t="s">
        <v>15</v>
      </c>
      <c r="E95" s="6">
        <v>29058.67</v>
      </c>
      <c r="F95" s="7" t="s">
        <v>37</v>
      </c>
      <c r="G95" s="7" t="s">
        <v>38</v>
      </c>
    </row>
    <row r="96" spans="1:7" x14ac:dyDescent="0.35">
      <c r="A96" s="7" t="s">
        <v>269</v>
      </c>
      <c r="B96" s="7" t="s">
        <v>244</v>
      </c>
      <c r="C96" s="7" t="s">
        <v>270</v>
      </c>
      <c r="D96" s="5" t="s">
        <v>15</v>
      </c>
      <c r="E96" s="6">
        <v>14989.86</v>
      </c>
      <c r="F96" s="7" t="s">
        <v>37</v>
      </c>
      <c r="G96" s="7" t="s">
        <v>38</v>
      </c>
    </row>
    <row r="97" spans="1:7" x14ac:dyDescent="0.35">
      <c r="A97" s="7" t="s">
        <v>271</v>
      </c>
      <c r="B97" s="7" t="s">
        <v>272</v>
      </c>
      <c r="C97" s="7" t="s">
        <v>273</v>
      </c>
      <c r="D97" s="5" t="s">
        <v>23</v>
      </c>
      <c r="E97" s="6">
        <v>58338.44</v>
      </c>
      <c r="F97" s="7" t="s">
        <v>37</v>
      </c>
      <c r="G97" s="7" t="s">
        <v>38</v>
      </c>
    </row>
    <row r="98" spans="1:7" x14ac:dyDescent="0.35">
      <c r="A98" s="7" t="s">
        <v>274</v>
      </c>
      <c r="B98" s="7" t="s">
        <v>134</v>
      </c>
      <c r="C98" s="7" t="s">
        <v>275</v>
      </c>
      <c r="D98" s="5" t="s">
        <v>17</v>
      </c>
      <c r="E98" s="6">
        <v>51935.8</v>
      </c>
      <c r="F98" s="7" t="s">
        <v>37</v>
      </c>
      <c r="G98" s="7" t="s">
        <v>63</v>
      </c>
    </row>
    <row r="99" spans="1:7" x14ac:dyDescent="0.35">
      <c r="A99" s="7" t="s">
        <v>276</v>
      </c>
      <c r="B99" s="7" t="s">
        <v>277</v>
      </c>
      <c r="C99" s="7" t="s">
        <v>273</v>
      </c>
      <c r="D99" s="5" t="s">
        <v>17</v>
      </c>
      <c r="E99" s="6">
        <v>105355.56</v>
      </c>
      <c r="F99" s="7" t="s">
        <v>37</v>
      </c>
      <c r="G99" s="7" t="s">
        <v>38</v>
      </c>
    </row>
    <row r="100" spans="1:7" x14ac:dyDescent="0.35">
      <c r="A100" s="7" t="s">
        <v>278</v>
      </c>
      <c r="B100" s="7" t="s">
        <v>279</v>
      </c>
      <c r="C100" s="7" t="s">
        <v>280</v>
      </c>
      <c r="D100" s="5" t="s">
        <v>17</v>
      </c>
      <c r="E100" s="6">
        <v>22203.25</v>
      </c>
      <c r="F100" s="7" t="s">
        <v>37</v>
      </c>
      <c r="G100" s="7" t="s">
        <v>38</v>
      </c>
    </row>
    <row r="101" spans="1:7" x14ac:dyDescent="0.35">
      <c r="A101" s="7" t="s">
        <v>281</v>
      </c>
      <c r="B101" s="7" t="s">
        <v>282</v>
      </c>
      <c r="C101" s="7" t="s">
        <v>283</v>
      </c>
      <c r="D101" s="5" t="s">
        <v>21</v>
      </c>
      <c r="E101" s="6">
        <v>8273.1</v>
      </c>
      <c r="F101" s="7" t="s">
        <v>37</v>
      </c>
      <c r="G101" s="7" t="s">
        <v>38</v>
      </c>
    </row>
    <row r="102" spans="1:7" x14ac:dyDescent="0.35">
      <c r="A102" s="7" t="s">
        <v>284</v>
      </c>
      <c r="B102" s="7" t="s">
        <v>285</v>
      </c>
      <c r="C102" s="7" t="s">
        <v>286</v>
      </c>
      <c r="D102" s="5" t="s">
        <v>17</v>
      </c>
      <c r="E102" s="6">
        <v>6568.1</v>
      </c>
      <c r="F102" s="7" t="s">
        <v>37</v>
      </c>
      <c r="G102" s="7" t="s">
        <v>38</v>
      </c>
    </row>
    <row r="103" spans="1:7" x14ac:dyDescent="0.35">
      <c r="A103" s="7" t="s">
        <v>287</v>
      </c>
      <c r="B103" s="7" t="s">
        <v>288</v>
      </c>
      <c r="C103" s="7" t="s">
        <v>214</v>
      </c>
      <c r="D103" s="5" t="s">
        <v>15</v>
      </c>
      <c r="E103" s="6">
        <v>66151.850000000006</v>
      </c>
      <c r="F103" s="7" t="s">
        <v>73</v>
      </c>
      <c r="G103" s="7" t="s">
        <v>38</v>
      </c>
    </row>
    <row r="104" spans="1:7" x14ac:dyDescent="0.35">
      <c r="A104" s="7" t="s">
        <v>289</v>
      </c>
      <c r="B104" s="7" t="s">
        <v>98</v>
      </c>
      <c r="C104" s="7" t="s">
        <v>290</v>
      </c>
      <c r="D104" s="5" t="s">
        <v>21</v>
      </c>
      <c r="E104" s="6">
        <v>75849.27</v>
      </c>
      <c r="F104" s="7" t="s">
        <v>37</v>
      </c>
      <c r="G104" s="7" t="s">
        <v>38</v>
      </c>
    </row>
    <row r="105" spans="1:7" x14ac:dyDescent="0.35">
      <c r="A105" s="7" t="s">
        <v>291</v>
      </c>
      <c r="B105" s="7" t="s">
        <v>92</v>
      </c>
      <c r="C105" s="7" t="s">
        <v>292</v>
      </c>
      <c r="D105" s="5" t="s">
        <v>15</v>
      </c>
      <c r="E105" s="6">
        <v>22556.01</v>
      </c>
      <c r="F105" s="7" t="s">
        <v>37</v>
      </c>
      <c r="G105" s="7" t="s">
        <v>38</v>
      </c>
    </row>
    <row r="106" spans="1:7" x14ac:dyDescent="0.35">
      <c r="A106" s="7" t="s">
        <v>293</v>
      </c>
      <c r="B106" s="7" t="s">
        <v>294</v>
      </c>
      <c r="C106" s="7" t="s">
        <v>295</v>
      </c>
      <c r="D106" s="5" t="s">
        <v>15</v>
      </c>
      <c r="E106" s="6">
        <v>30536.03</v>
      </c>
      <c r="F106" s="7" t="s">
        <v>37</v>
      </c>
      <c r="G106" s="7" t="s">
        <v>38</v>
      </c>
    </row>
    <row r="107" spans="1:7" x14ac:dyDescent="0.35">
      <c r="A107" s="7" t="s">
        <v>296</v>
      </c>
      <c r="B107" s="7" t="s">
        <v>98</v>
      </c>
      <c r="C107" s="7" t="s">
        <v>297</v>
      </c>
      <c r="D107" s="5" t="s">
        <v>15</v>
      </c>
      <c r="E107" s="6">
        <v>18092.77</v>
      </c>
      <c r="F107" s="7" t="s">
        <v>37</v>
      </c>
      <c r="G107" s="7" t="s">
        <v>38</v>
      </c>
    </row>
    <row r="108" spans="1:7" x14ac:dyDescent="0.35">
      <c r="A108" s="7" t="s">
        <v>298</v>
      </c>
      <c r="B108" s="7" t="s">
        <v>299</v>
      </c>
      <c r="C108" s="7" t="s">
        <v>300</v>
      </c>
      <c r="D108" s="5" t="s">
        <v>15</v>
      </c>
      <c r="E108" s="6">
        <v>99548.83</v>
      </c>
      <c r="F108" s="7" t="s">
        <v>37</v>
      </c>
      <c r="G108" s="7" t="s">
        <v>63</v>
      </c>
    </row>
    <row r="109" spans="1:7" x14ac:dyDescent="0.35">
      <c r="A109" s="7" t="s">
        <v>301</v>
      </c>
      <c r="B109" s="7" t="s">
        <v>302</v>
      </c>
      <c r="C109" s="7" t="s">
        <v>303</v>
      </c>
      <c r="D109" s="5" t="s">
        <v>17</v>
      </c>
      <c r="E109" s="6">
        <v>82265.25</v>
      </c>
      <c r="F109" s="7" t="s">
        <v>37</v>
      </c>
      <c r="G109" s="7" t="s">
        <v>38</v>
      </c>
    </row>
    <row r="110" spans="1:7" x14ac:dyDescent="0.35">
      <c r="A110" s="7" t="s">
        <v>304</v>
      </c>
      <c r="B110" s="7" t="s">
        <v>305</v>
      </c>
      <c r="C110" s="7" t="s">
        <v>306</v>
      </c>
      <c r="D110" s="5" t="s">
        <v>19</v>
      </c>
      <c r="E110" s="6">
        <v>150216.23000000001</v>
      </c>
      <c r="F110" s="7" t="s">
        <v>37</v>
      </c>
      <c r="G110" s="7" t="s">
        <v>38</v>
      </c>
    </row>
    <row r="111" spans="1:7" x14ac:dyDescent="0.35">
      <c r="A111" s="7" t="s">
        <v>307</v>
      </c>
      <c r="B111" s="7" t="s">
        <v>139</v>
      </c>
      <c r="C111" s="7" t="s">
        <v>295</v>
      </c>
      <c r="D111" s="5" t="s">
        <v>19</v>
      </c>
      <c r="E111" s="6">
        <v>25885.62</v>
      </c>
      <c r="F111" s="7" t="s">
        <v>37</v>
      </c>
      <c r="G111" s="7" t="s">
        <v>38</v>
      </c>
    </row>
    <row r="112" spans="1:7" x14ac:dyDescent="0.35">
      <c r="A112" s="7" t="s">
        <v>308</v>
      </c>
      <c r="B112" s="7" t="s">
        <v>309</v>
      </c>
      <c r="C112" s="7" t="s">
        <v>118</v>
      </c>
      <c r="D112" s="5" t="s">
        <v>15</v>
      </c>
      <c r="E112" s="6">
        <v>6461.79</v>
      </c>
      <c r="F112" s="7" t="s">
        <v>37</v>
      </c>
      <c r="G112" s="7" t="s">
        <v>63</v>
      </c>
    </row>
    <row r="113" spans="1:7" x14ac:dyDescent="0.35">
      <c r="A113" s="7" t="s">
        <v>310</v>
      </c>
      <c r="B113" s="7" t="s">
        <v>35</v>
      </c>
      <c r="C113" s="7" t="s">
        <v>311</v>
      </c>
      <c r="D113" s="5" t="s">
        <v>17</v>
      </c>
      <c r="E113" s="6">
        <v>27690.66</v>
      </c>
      <c r="F113" s="7" t="s">
        <v>37</v>
      </c>
      <c r="G113" s="7" t="s">
        <v>38</v>
      </c>
    </row>
    <row r="114" spans="1:7" x14ac:dyDescent="0.35">
      <c r="A114" s="7" t="s">
        <v>312</v>
      </c>
      <c r="B114" s="7" t="s">
        <v>313</v>
      </c>
      <c r="C114" s="7" t="s">
        <v>314</v>
      </c>
      <c r="D114" s="5" t="s">
        <v>15</v>
      </c>
      <c r="E114" s="6">
        <v>45871.09</v>
      </c>
      <c r="F114" s="7" t="s">
        <v>37</v>
      </c>
      <c r="G114" s="7" t="s">
        <v>38</v>
      </c>
    </row>
    <row r="115" spans="1:7" x14ac:dyDescent="0.35">
      <c r="A115" s="7" t="s">
        <v>315</v>
      </c>
      <c r="B115" s="7" t="s">
        <v>139</v>
      </c>
      <c r="C115" s="7" t="s">
        <v>82</v>
      </c>
      <c r="D115" s="5" t="s">
        <v>15</v>
      </c>
      <c r="E115" s="6">
        <v>4437.67</v>
      </c>
      <c r="F115" s="7" t="s">
        <v>37</v>
      </c>
      <c r="G115" s="7" t="s">
        <v>38</v>
      </c>
    </row>
    <row r="116" spans="1:7" x14ac:dyDescent="0.35">
      <c r="A116" s="7" t="s">
        <v>316</v>
      </c>
      <c r="B116" s="7" t="s">
        <v>317</v>
      </c>
      <c r="C116" s="7" t="s">
        <v>318</v>
      </c>
      <c r="D116" s="5" t="s">
        <v>15</v>
      </c>
      <c r="E116" s="6">
        <v>27475.83</v>
      </c>
      <c r="F116" s="7" t="s">
        <v>37</v>
      </c>
      <c r="G116" s="7" t="s">
        <v>38</v>
      </c>
    </row>
    <row r="117" spans="1:7" x14ac:dyDescent="0.35">
      <c r="A117" s="7" t="s">
        <v>319</v>
      </c>
      <c r="B117" s="7" t="s">
        <v>320</v>
      </c>
      <c r="C117" s="7" t="s">
        <v>148</v>
      </c>
      <c r="D117" s="5" t="s">
        <v>21</v>
      </c>
      <c r="E117" s="6">
        <v>128163.18</v>
      </c>
      <c r="F117" s="7" t="s">
        <v>37</v>
      </c>
      <c r="G117" s="7" t="s">
        <v>63</v>
      </c>
    </row>
    <row r="118" spans="1:7" x14ac:dyDescent="0.35">
      <c r="A118" s="7" t="s">
        <v>321</v>
      </c>
      <c r="B118" s="7" t="s">
        <v>322</v>
      </c>
      <c r="C118" s="7" t="s">
        <v>245</v>
      </c>
      <c r="D118" s="5" t="s">
        <v>21</v>
      </c>
      <c r="E118" s="6">
        <v>25158.07</v>
      </c>
      <c r="F118" s="7" t="s">
        <v>37</v>
      </c>
      <c r="G118" s="7" t="s">
        <v>38</v>
      </c>
    </row>
    <row r="119" spans="1:7" x14ac:dyDescent="0.35">
      <c r="A119" s="7" t="s">
        <v>323</v>
      </c>
      <c r="B119" s="7" t="s">
        <v>324</v>
      </c>
      <c r="C119" s="7" t="s">
        <v>325</v>
      </c>
      <c r="D119" s="5" t="s">
        <v>19</v>
      </c>
      <c r="E119" s="6">
        <v>43243.87</v>
      </c>
      <c r="F119" s="7" t="s">
        <v>37</v>
      </c>
      <c r="G119" s="7" t="s">
        <v>38</v>
      </c>
    </row>
    <row r="120" spans="1:7" x14ac:dyDescent="0.35">
      <c r="A120" s="7" t="s">
        <v>326</v>
      </c>
      <c r="B120" s="7" t="s">
        <v>327</v>
      </c>
      <c r="C120" s="7" t="s">
        <v>238</v>
      </c>
      <c r="D120" s="5" t="s">
        <v>21</v>
      </c>
      <c r="E120" s="6">
        <v>10475.59</v>
      </c>
      <c r="F120" s="7" t="s">
        <v>37</v>
      </c>
      <c r="G120" s="7" t="s">
        <v>38</v>
      </c>
    </row>
    <row r="121" spans="1:7" x14ac:dyDescent="0.35">
      <c r="A121" s="7" t="s">
        <v>328</v>
      </c>
      <c r="B121" s="7" t="s">
        <v>43</v>
      </c>
      <c r="C121" s="7" t="s">
        <v>329</v>
      </c>
      <c r="D121" s="5" t="s">
        <v>15</v>
      </c>
      <c r="E121" s="6">
        <v>33120.26</v>
      </c>
      <c r="F121" s="7" t="s">
        <v>37</v>
      </c>
      <c r="G121" s="7" t="s">
        <v>38</v>
      </c>
    </row>
    <row r="122" spans="1:7" x14ac:dyDescent="0.35">
      <c r="A122" s="7" t="s">
        <v>330</v>
      </c>
      <c r="B122" s="7" t="s">
        <v>331</v>
      </c>
      <c r="C122" s="7" t="s">
        <v>205</v>
      </c>
      <c r="D122" s="5" t="s">
        <v>17</v>
      </c>
      <c r="E122" s="6">
        <v>243337.7</v>
      </c>
      <c r="F122" s="7" t="s">
        <v>37</v>
      </c>
      <c r="G122" s="7" t="s">
        <v>38</v>
      </c>
    </row>
    <row r="123" spans="1:7" x14ac:dyDescent="0.35">
      <c r="A123" s="7" t="s">
        <v>332</v>
      </c>
      <c r="B123" s="7" t="s">
        <v>277</v>
      </c>
      <c r="C123" s="7" t="s">
        <v>333</v>
      </c>
      <c r="D123" s="5" t="s">
        <v>15</v>
      </c>
      <c r="E123" s="6">
        <v>116127.69</v>
      </c>
      <c r="F123" s="7" t="s">
        <v>37</v>
      </c>
      <c r="G123" s="7" t="s">
        <v>38</v>
      </c>
    </row>
    <row r="124" spans="1:7" x14ac:dyDescent="0.35">
      <c r="A124" s="7" t="s">
        <v>334</v>
      </c>
      <c r="B124" s="7" t="s">
        <v>309</v>
      </c>
      <c r="C124" s="7" t="s">
        <v>335</v>
      </c>
      <c r="D124" s="5" t="s">
        <v>21</v>
      </c>
      <c r="E124" s="6">
        <v>6026.67</v>
      </c>
      <c r="F124" s="7" t="s">
        <v>37</v>
      </c>
      <c r="G124" s="7" t="s">
        <v>63</v>
      </c>
    </row>
    <row r="125" spans="1:7" x14ac:dyDescent="0.35">
      <c r="A125" s="7" t="s">
        <v>336</v>
      </c>
      <c r="B125" s="7" t="s">
        <v>337</v>
      </c>
      <c r="C125" s="7" t="s">
        <v>286</v>
      </c>
      <c r="D125" s="5" t="s">
        <v>15</v>
      </c>
      <c r="E125" s="6">
        <v>24988.16</v>
      </c>
      <c r="F125" s="7" t="s">
        <v>37</v>
      </c>
      <c r="G125" s="7" t="s">
        <v>63</v>
      </c>
    </row>
    <row r="126" spans="1:7" x14ac:dyDescent="0.35">
      <c r="A126" s="7" t="s">
        <v>338</v>
      </c>
      <c r="B126" s="7" t="s">
        <v>339</v>
      </c>
      <c r="C126" s="7" t="s">
        <v>226</v>
      </c>
      <c r="D126" s="5" t="s">
        <v>17</v>
      </c>
      <c r="E126" s="6">
        <v>31557.77</v>
      </c>
      <c r="F126" s="7" t="s">
        <v>37</v>
      </c>
      <c r="G126" s="7" t="s">
        <v>38</v>
      </c>
    </row>
    <row r="127" spans="1:7" x14ac:dyDescent="0.35">
      <c r="A127" s="7" t="s">
        <v>340</v>
      </c>
      <c r="B127" s="7" t="s">
        <v>58</v>
      </c>
      <c r="C127" s="7" t="s">
        <v>240</v>
      </c>
      <c r="D127" s="5" t="s">
        <v>15</v>
      </c>
      <c r="E127" s="6">
        <v>44494.49</v>
      </c>
      <c r="F127" s="7" t="s">
        <v>37</v>
      </c>
      <c r="G127" s="7" t="s">
        <v>63</v>
      </c>
    </row>
    <row r="128" spans="1:7" x14ac:dyDescent="0.35">
      <c r="A128" s="7" t="s">
        <v>341</v>
      </c>
      <c r="B128" s="7" t="s">
        <v>166</v>
      </c>
      <c r="C128" s="7" t="s">
        <v>142</v>
      </c>
      <c r="D128" s="5" t="s">
        <v>15</v>
      </c>
      <c r="E128" s="6">
        <v>62773.35</v>
      </c>
      <c r="F128" s="7" t="s">
        <v>37</v>
      </c>
      <c r="G128" s="7" t="s">
        <v>38</v>
      </c>
    </row>
    <row r="129" spans="1:7" x14ac:dyDescent="0.35">
      <c r="A129" s="7" t="s">
        <v>342</v>
      </c>
      <c r="B129" s="7" t="s">
        <v>211</v>
      </c>
      <c r="C129" s="7" t="s">
        <v>343</v>
      </c>
      <c r="D129" s="5" t="s">
        <v>17</v>
      </c>
      <c r="E129" s="6">
        <v>35146.47</v>
      </c>
      <c r="F129" s="7" t="s">
        <v>73</v>
      </c>
      <c r="G129" s="7" t="s">
        <v>38</v>
      </c>
    </row>
    <row r="130" spans="1:7" x14ac:dyDescent="0.35">
      <c r="A130" s="7" t="s">
        <v>344</v>
      </c>
      <c r="B130" s="7" t="s">
        <v>185</v>
      </c>
      <c r="C130" s="7" t="s">
        <v>295</v>
      </c>
      <c r="D130" s="5" t="s">
        <v>23</v>
      </c>
      <c r="E130" s="6">
        <v>63396.29</v>
      </c>
      <c r="F130" s="7" t="s">
        <v>37</v>
      </c>
      <c r="G130" s="7" t="s">
        <v>38</v>
      </c>
    </row>
    <row r="131" spans="1:7" x14ac:dyDescent="0.35">
      <c r="A131" s="7" t="s">
        <v>345</v>
      </c>
      <c r="B131" s="7" t="s">
        <v>346</v>
      </c>
      <c r="C131" s="7" t="s">
        <v>347</v>
      </c>
      <c r="D131" s="5" t="s">
        <v>19</v>
      </c>
      <c r="E131" s="6">
        <v>116608.63</v>
      </c>
      <c r="F131" s="7" t="s">
        <v>37</v>
      </c>
      <c r="G131" s="7" t="s">
        <v>38</v>
      </c>
    </row>
    <row r="132" spans="1:7" x14ac:dyDescent="0.35">
      <c r="A132" s="7" t="s">
        <v>348</v>
      </c>
      <c r="B132" s="7" t="s">
        <v>309</v>
      </c>
      <c r="C132" s="7" t="s">
        <v>349</v>
      </c>
      <c r="D132" s="5" t="s">
        <v>15</v>
      </c>
      <c r="E132" s="6">
        <v>10088.24</v>
      </c>
      <c r="F132" s="7" t="s">
        <v>37</v>
      </c>
      <c r="G132" s="7" t="s">
        <v>38</v>
      </c>
    </row>
    <row r="133" spans="1:7" x14ac:dyDescent="0.35">
      <c r="A133" s="7" t="s">
        <v>350</v>
      </c>
      <c r="B133" s="7" t="s">
        <v>288</v>
      </c>
      <c r="C133" s="7" t="s">
        <v>69</v>
      </c>
      <c r="D133" s="5" t="s">
        <v>19</v>
      </c>
      <c r="E133" s="6">
        <v>69224.12</v>
      </c>
      <c r="F133" s="7" t="s">
        <v>37</v>
      </c>
      <c r="G133" s="7" t="s">
        <v>38</v>
      </c>
    </row>
    <row r="134" spans="1:7" x14ac:dyDescent="0.35">
      <c r="A134" s="7" t="s">
        <v>351</v>
      </c>
      <c r="B134" s="7" t="s">
        <v>65</v>
      </c>
      <c r="C134" s="7" t="s">
        <v>352</v>
      </c>
      <c r="D134" s="5" t="s">
        <v>15</v>
      </c>
      <c r="E134" s="6">
        <v>3183.87</v>
      </c>
      <c r="F134" s="7" t="s">
        <v>37</v>
      </c>
      <c r="G134" s="7" t="s">
        <v>38</v>
      </c>
    </row>
    <row r="135" spans="1:7" x14ac:dyDescent="0.35">
      <c r="A135" s="7" t="s">
        <v>353</v>
      </c>
      <c r="B135" s="7" t="s">
        <v>354</v>
      </c>
      <c r="C135" s="7" t="s">
        <v>59</v>
      </c>
      <c r="D135" s="5" t="s">
        <v>17</v>
      </c>
      <c r="E135" s="6">
        <v>146987.57999999999</v>
      </c>
      <c r="F135" s="7" t="s">
        <v>37</v>
      </c>
      <c r="G135" s="7" t="s">
        <v>38</v>
      </c>
    </row>
    <row r="136" spans="1:7" x14ac:dyDescent="0.35">
      <c r="A136" s="7" t="s">
        <v>355</v>
      </c>
      <c r="B136" s="7" t="s">
        <v>356</v>
      </c>
      <c r="C136" s="7" t="s">
        <v>158</v>
      </c>
      <c r="D136" s="5" t="s">
        <v>17</v>
      </c>
      <c r="E136" s="6">
        <v>86619.21</v>
      </c>
      <c r="F136" s="7" t="s">
        <v>37</v>
      </c>
      <c r="G136" s="7" t="s">
        <v>38</v>
      </c>
    </row>
    <row r="137" spans="1:7" x14ac:dyDescent="0.35">
      <c r="A137" s="7" t="s">
        <v>357</v>
      </c>
      <c r="B137" s="7" t="s">
        <v>191</v>
      </c>
      <c r="C137" s="7" t="s">
        <v>186</v>
      </c>
      <c r="D137" s="5" t="s">
        <v>21</v>
      </c>
      <c r="E137" s="6">
        <v>41406.57</v>
      </c>
      <c r="F137" s="7" t="s">
        <v>37</v>
      </c>
      <c r="G137" s="7" t="s">
        <v>38</v>
      </c>
    </row>
    <row r="138" spans="1:7" x14ac:dyDescent="0.35">
      <c r="A138" s="7" t="s">
        <v>358</v>
      </c>
      <c r="B138" s="7" t="s">
        <v>359</v>
      </c>
      <c r="C138" s="7" t="s">
        <v>135</v>
      </c>
      <c r="D138" s="5" t="s">
        <v>17</v>
      </c>
      <c r="E138" s="6">
        <v>46606.34</v>
      </c>
      <c r="F138" s="7" t="s">
        <v>37</v>
      </c>
      <c r="G138" s="7" t="s">
        <v>38</v>
      </c>
    </row>
    <row r="139" spans="1:7" x14ac:dyDescent="0.35">
      <c r="A139" s="7" t="s">
        <v>360</v>
      </c>
      <c r="B139" s="7" t="s">
        <v>361</v>
      </c>
      <c r="C139" s="7" t="s">
        <v>362</v>
      </c>
      <c r="D139" s="5" t="s">
        <v>15</v>
      </c>
      <c r="E139" s="6">
        <v>183580.28</v>
      </c>
      <c r="F139" s="7" t="s">
        <v>37</v>
      </c>
      <c r="G139" s="7" t="s">
        <v>38</v>
      </c>
    </row>
    <row r="140" spans="1:7" x14ac:dyDescent="0.35">
      <c r="A140" s="7" t="s">
        <v>363</v>
      </c>
      <c r="B140" s="7" t="s">
        <v>188</v>
      </c>
      <c r="C140" s="7" t="s">
        <v>90</v>
      </c>
      <c r="D140" s="5" t="s">
        <v>15</v>
      </c>
      <c r="E140" s="6">
        <v>51638.21</v>
      </c>
      <c r="F140" s="7" t="s">
        <v>37</v>
      </c>
      <c r="G140" s="7" t="s">
        <v>63</v>
      </c>
    </row>
    <row r="141" spans="1:7" x14ac:dyDescent="0.35">
      <c r="A141" s="7" t="s">
        <v>364</v>
      </c>
      <c r="B141" s="7" t="s">
        <v>365</v>
      </c>
      <c r="C141" s="7" t="s">
        <v>232</v>
      </c>
      <c r="D141" s="5" t="s">
        <v>15</v>
      </c>
      <c r="E141" s="6">
        <v>26888.94</v>
      </c>
      <c r="F141" s="7" t="s">
        <v>37</v>
      </c>
      <c r="G141" s="7" t="s">
        <v>38</v>
      </c>
    </row>
    <row r="142" spans="1:7" x14ac:dyDescent="0.35">
      <c r="A142" s="7" t="s">
        <v>366</v>
      </c>
      <c r="B142" s="7" t="s">
        <v>139</v>
      </c>
      <c r="C142" s="7" t="s">
        <v>200</v>
      </c>
      <c r="D142" s="5" t="s">
        <v>17</v>
      </c>
      <c r="E142" s="6">
        <v>109106.25</v>
      </c>
      <c r="F142" s="7" t="s">
        <v>37</v>
      </c>
      <c r="G142" s="7" t="s">
        <v>38</v>
      </c>
    </row>
    <row r="143" spans="1:7" x14ac:dyDescent="0.35">
      <c r="A143" s="7" t="s">
        <v>367</v>
      </c>
      <c r="B143" s="7" t="s">
        <v>368</v>
      </c>
      <c r="C143" s="7" t="s">
        <v>219</v>
      </c>
      <c r="D143" s="5" t="s">
        <v>19</v>
      </c>
      <c r="E143" s="6">
        <v>25757.05</v>
      </c>
      <c r="F143" s="7" t="s">
        <v>37</v>
      </c>
      <c r="G143" s="7" t="s">
        <v>38</v>
      </c>
    </row>
    <row r="144" spans="1:7" x14ac:dyDescent="0.35">
      <c r="A144" s="7" t="s">
        <v>369</v>
      </c>
      <c r="B144" s="7" t="s">
        <v>370</v>
      </c>
      <c r="C144" s="7" t="s">
        <v>371</v>
      </c>
      <c r="D144" s="5" t="s">
        <v>17</v>
      </c>
      <c r="E144" s="6">
        <v>16949.28</v>
      </c>
      <c r="F144" s="7" t="s">
        <v>37</v>
      </c>
      <c r="G144" s="7" t="s">
        <v>63</v>
      </c>
    </row>
    <row r="145" spans="1:7" x14ac:dyDescent="0.35">
      <c r="A145" s="7" t="s">
        <v>372</v>
      </c>
      <c r="B145" s="7" t="s">
        <v>185</v>
      </c>
      <c r="C145" s="7" t="s">
        <v>214</v>
      </c>
      <c r="D145" s="5" t="s">
        <v>17</v>
      </c>
      <c r="E145" s="6">
        <v>29656.48</v>
      </c>
      <c r="F145" s="7" t="s">
        <v>37</v>
      </c>
      <c r="G145" s="7" t="s">
        <v>63</v>
      </c>
    </row>
    <row r="146" spans="1:7" x14ac:dyDescent="0.35">
      <c r="A146" s="7" t="s">
        <v>373</v>
      </c>
      <c r="B146" s="7" t="s">
        <v>98</v>
      </c>
      <c r="C146" s="7" t="s">
        <v>374</v>
      </c>
      <c r="D146" s="5" t="s">
        <v>23</v>
      </c>
      <c r="E146" s="6">
        <v>110392.72</v>
      </c>
      <c r="F146" s="7" t="s">
        <v>37</v>
      </c>
      <c r="G146" s="7" t="s">
        <v>38</v>
      </c>
    </row>
    <row r="147" spans="1:7" x14ac:dyDescent="0.35">
      <c r="A147" s="7" t="s">
        <v>375</v>
      </c>
      <c r="B147" s="7" t="s">
        <v>376</v>
      </c>
      <c r="C147" s="7" t="s">
        <v>377</v>
      </c>
      <c r="D147" s="5" t="s">
        <v>15</v>
      </c>
      <c r="E147" s="6">
        <v>89835.07</v>
      </c>
      <c r="F147" s="7" t="s">
        <v>37</v>
      </c>
      <c r="G147" s="7" t="s">
        <v>38</v>
      </c>
    </row>
    <row r="148" spans="1:7" x14ac:dyDescent="0.35">
      <c r="A148" s="7" t="s">
        <v>378</v>
      </c>
      <c r="B148" s="7" t="s">
        <v>379</v>
      </c>
      <c r="C148" s="7" t="s">
        <v>380</v>
      </c>
      <c r="D148" s="5" t="s">
        <v>19</v>
      </c>
      <c r="E148" s="6">
        <v>42128.26</v>
      </c>
      <c r="F148" s="7" t="s">
        <v>37</v>
      </c>
      <c r="G148" s="7" t="s">
        <v>63</v>
      </c>
    </row>
    <row r="149" spans="1:7" x14ac:dyDescent="0.35">
      <c r="A149" s="7" t="s">
        <v>381</v>
      </c>
      <c r="B149" s="7" t="s">
        <v>382</v>
      </c>
      <c r="C149" s="7" t="s">
        <v>93</v>
      </c>
      <c r="D149" s="5" t="s">
        <v>15</v>
      </c>
      <c r="E149" s="6">
        <v>15631.47</v>
      </c>
      <c r="F149" s="7" t="s">
        <v>37</v>
      </c>
      <c r="G149" s="7" t="s">
        <v>63</v>
      </c>
    </row>
    <row r="150" spans="1:7" x14ac:dyDescent="0.35">
      <c r="A150" s="7" t="s">
        <v>383</v>
      </c>
      <c r="B150" s="7" t="s">
        <v>268</v>
      </c>
      <c r="C150" s="7" t="s">
        <v>384</v>
      </c>
      <c r="D150" s="5" t="s">
        <v>23</v>
      </c>
      <c r="E150" s="6">
        <v>56752.99</v>
      </c>
      <c r="F150" s="7" t="s">
        <v>37</v>
      </c>
      <c r="G150" s="7" t="s">
        <v>63</v>
      </c>
    </row>
    <row r="151" spans="1:7" x14ac:dyDescent="0.35">
      <c r="A151" s="7" t="s">
        <v>385</v>
      </c>
      <c r="B151" s="7" t="s">
        <v>65</v>
      </c>
      <c r="C151" s="7" t="s">
        <v>343</v>
      </c>
      <c r="D151" s="5" t="s">
        <v>15</v>
      </c>
      <c r="E151" s="6">
        <v>13801.19</v>
      </c>
      <c r="F151" s="7" t="s">
        <v>37</v>
      </c>
      <c r="G151" s="7" t="s">
        <v>38</v>
      </c>
    </row>
    <row r="152" spans="1:7" x14ac:dyDescent="0.35">
      <c r="A152" s="7" t="s">
        <v>386</v>
      </c>
      <c r="B152" s="7" t="s">
        <v>86</v>
      </c>
      <c r="C152" s="7" t="s">
        <v>214</v>
      </c>
      <c r="D152" s="5" t="s">
        <v>15</v>
      </c>
      <c r="E152" s="6">
        <v>214700.44</v>
      </c>
      <c r="F152" s="7" t="s">
        <v>37</v>
      </c>
      <c r="G152" s="7" t="s">
        <v>38</v>
      </c>
    </row>
    <row r="153" spans="1:7" x14ac:dyDescent="0.35">
      <c r="A153" s="7" t="s">
        <v>387</v>
      </c>
      <c r="B153" s="7" t="s">
        <v>61</v>
      </c>
      <c r="C153" s="7" t="s">
        <v>109</v>
      </c>
      <c r="D153" s="5" t="s">
        <v>15</v>
      </c>
      <c r="E153" s="6">
        <v>2106.31</v>
      </c>
      <c r="F153" s="7" t="s">
        <v>37</v>
      </c>
      <c r="G153" s="7" t="s">
        <v>63</v>
      </c>
    </row>
    <row r="154" spans="1:7" x14ac:dyDescent="0.35">
      <c r="A154" s="7" t="s">
        <v>388</v>
      </c>
      <c r="B154" s="7" t="s">
        <v>379</v>
      </c>
      <c r="C154" s="7" t="s">
        <v>389</v>
      </c>
      <c r="D154" s="5" t="s">
        <v>21</v>
      </c>
      <c r="E154" s="6">
        <v>49250.37</v>
      </c>
      <c r="F154" s="7" t="s">
        <v>37</v>
      </c>
      <c r="G154" s="7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3"/>
  <sheetViews>
    <sheetView topLeftCell="A3" workbookViewId="0">
      <selection activeCell="B2" sqref="B2"/>
    </sheetView>
  </sheetViews>
  <sheetFormatPr defaultRowHeight="14.5" x14ac:dyDescent="0.35"/>
  <cols>
    <col min="1" max="1" width="12" customWidth="1"/>
    <col min="2" max="2" width="42" customWidth="1"/>
    <col min="3" max="8" width="12" customWidth="1"/>
  </cols>
  <sheetData>
    <row r="2" spans="2:8" ht="21" x14ac:dyDescent="0.5">
      <c r="B2" s="1" t="s">
        <v>390</v>
      </c>
    </row>
    <row r="3" spans="2:8" x14ac:dyDescent="0.35">
      <c r="B3" s="2" t="s">
        <v>1</v>
      </c>
    </row>
    <row r="5" spans="2:8" ht="17" x14ac:dyDescent="0.4">
      <c r="B5" s="3" t="s">
        <v>391</v>
      </c>
    </row>
    <row r="6" spans="2:8" x14ac:dyDescent="0.35">
      <c r="B6" s="33" t="s">
        <v>392</v>
      </c>
      <c r="C6" s="8"/>
      <c r="D6" s="8"/>
      <c r="E6" s="8"/>
      <c r="F6" s="8"/>
      <c r="G6" s="8"/>
      <c r="H6" s="8"/>
    </row>
    <row r="7" spans="2:8" x14ac:dyDescent="0.35">
      <c r="B7" s="8"/>
      <c r="C7" s="8"/>
      <c r="D7" s="8"/>
      <c r="E7" s="8"/>
      <c r="F7" s="8"/>
      <c r="G7" s="8"/>
      <c r="H7" s="8"/>
    </row>
    <row r="8" spans="2:8" x14ac:dyDescent="0.35">
      <c r="B8" s="8"/>
      <c r="C8" s="8"/>
      <c r="D8" s="8"/>
      <c r="E8" s="8"/>
      <c r="F8" s="8"/>
      <c r="G8" s="8"/>
      <c r="H8" s="8"/>
    </row>
    <row r="10" spans="2:8" ht="17" x14ac:dyDescent="0.4">
      <c r="B10" s="3" t="s">
        <v>393</v>
      </c>
    </row>
    <row r="11" spans="2:8" x14ac:dyDescent="0.35">
      <c r="B11" s="9" t="s">
        <v>394</v>
      </c>
      <c r="C11" s="8"/>
      <c r="D11" s="8"/>
      <c r="E11" s="8"/>
      <c r="F11" s="8"/>
      <c r="G11" s="8"/>
      <c r="H11" s="8"/>
    </row>
    <row r="12" spans="2:8" x14ac:dyDescent="0.35">
      <c r="B12" s="8"/>
      <c r="C12" s="8"/>
      <c r="D12" s="8"/>
      <c r="E12" s="8"/>
      <c r="F12" s="8"/>
      <c r="G12" s="8"/>
      <c r="H12" s="8"/>
    </row>
    <row r="13" spans="2:8" x14ac:dyDescent="0.35">
      <c r="B13" s="8"/>
      <c r="C13" s="8"/>
      <c r="D13" s="8"/>
      <c r="E13" s="8"/>
      <c r="F13" s="8"/>
      <c r="G13" s="8"/>
      <c r="H13" s="8"/>
    </row>
    <row r="15" spans="2:8" ht="17" x14ac:dyDescent="0.4">
      <c r="B15" s="3" t="s">
        <v>395</v>
      </c>
    </row>
    <row r="16" spans="2:8" x14ac:dyDescent="0.35">
      <c r="B16" s="9" t="s">
        <v>396</v>
      </c>
      <c r="C16" s="8"/>
      <c r="D16" s="8"/>
      <c r="E16" s="8"/>
      <c r="F16" s="8"/>
      <c r="G16" s="8"/>
      <c r="H16" s="8"/>
    </row>
    <row r="17" spans="2:8" x14ac:dyDescent="0.35">
      <c r="B17" s="8"/>
      <c r="C17" s="8"/>
      <c r="D17" s="8"/>
      <c r="E17" s="8"/>
      <c r="F17" s="8"/>
      <c r="G17" s="8"/>
      <c r="H17" s="8"/>
    </row>
    <row r="18" spans="2:8" x14ac:dyDescent="0.35">
      <c r="B18" s="8"/>
      <c r="C18" s="8"/>
      <c r="D18" s="8"/>
      <c r="E18" s="8"/>
      <c r="F18" s="8"/>
      <c r="G18" s="8"/>
      <c r="H18" s="8"/>
    </row>
    <row r="20" spans="2:8" ht="17" x14ac:dyDescent="0.4">
      <c r="B20" s="3" t="s">
        <v>397</v>
      </c>
    </row>
    <row r="21" spans="2:8" x14ac:dyDescent="0.35">
      <c r="B21" s="9" t="s">
        <v>398</v>
      </c>
      <c r="C21" s="8"/>
      <c r="D21" s="8"/>
      <c r="E21" s="8"/>
      <c r="F21" s="8"/>
      <c r="G21" s="8"/>
      <c r="H21" s="8"/>
    </row>
    <row r="22" spans="2:8" x14ac:dyDescent="0.35">
      <c r="B22" s="8"/>
      <c r="C22" s="8"/>
      <c r="D22" s="8"/>
      <c r="E22" s="8"/>
      <c r="F22" s="8"/>
      <c r="G22" s="8"/>
      <c r="H22" s="8"/>
    </row>
    <row r="23" spans="2:8" x14ac:dyDescent="0.35">
      <c r="B23" s="8"/>
      <c r="C23" s="8"/>
      <c r="D23" s="8"/>
      <c r="E23" s="8"/>
      <c r="F23" s="8"/>
      <c r="G23" s="8"/>
      <c r="H23" s="8"/>
    </row>
  </sheetData>
  <mergeCells count="4">
    <mergeCell ref="B16:H18"/>
    <mergeCell ref="B11:H13"/>
    <mergeCell ref="B6:H8"/>
    <mergeCell ref="B21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Transaction Dataset</vt:lpstr>
      <vt:lpstr>Executive Notes &amp;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2026-09-26T17:06:04Z</dcterms:created>
  <dcterms:modified xsi:type="dcterms:W3CDTF">2026-09-26T17:43:26Z</dcterms:modified>
</cp:coreProperties>
</file>